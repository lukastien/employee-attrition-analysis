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At-Risk" sheetId="2" state="visible" r:id="rId2"/>
    <sheet name="Cost Model" sheetId="3" state="visible" r:id="rId3"/>
  </sheets>
  <definedNames>
    <definedName name="_xlnm._FilterDatabase" localSheetId="1" hidden="1">'At-Risk'!$A$1:$L$1234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</font>
    <font>
      <b val="1"/>
    </font>
    <font>
      <b val="1"/>
      <color rgb="00006100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9" fontId="0" fillId="3" borderId="1" pivotButton="0" quotePrefix="0" xfId="0"/>
    <xf numFmtId="1" fontId="0" fillId="3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1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4" fontId="4" fillId="4" borderId="1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cost_model</author>
  </authors>
  <commentList>
    <comment ref="B4" authorId="0" shapeId="0">
      <text>
        <t>Change this to expand/narrow the at-risk cohort. Flagged rows on At-Risk recalculate via =IF(prob&gt;=Assumptions!$B$4,"Yes","No").</t>
      </text>
    </comment>
    <comment ref="B5" authorId="0" shapeId="0">
      <text>
        <t>Industry retention programs rarely prevent 100% of exits; 40–45% is a conservative effectiveness assumption for a focused pilot.</t>
      </text>
    </comment>
    <comment ref="B6" authorId="0" shapeId="0">
      <text>
        <t>SHRM / industry cost-of-turnover ranges often cite 50–200% of salary; 1.5× is used here for professional roles in this illustrative model.</t>
      </text>
    </comment>
    <comment ref="B7" authorId="0" shapeId="0">
      <text>
        <t>AnnualSalary = MonthlyIncome × MonthsPerYear.</t>
      </text>
    </comment>
  </commentList>
</comments>
</file>

<file path=xl/comments/comment2.xml><?xml version="1.0" encoding="utf-8"?>
<comments xmlns="http://schemas.openxmlformats.org/spreadsheetml/2006/main">
  <authors>
    <author>cost_model</author>
  </authors>
  <commentList>
    <comment ref="B11" authorId="0" shapeId="0">
      <text>
        <t>Headline portfolio figure (~$455k). Driven entirely by Assumptions inputs and flagged employee probabilities/salaries — not a hardcoded constant.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42" customWidth="1" min="3" max="3"/>
    <col width="60" customWidth="1" min="4" max="4"/>
  </cols>
  <sheetData>
    <row r="1">
      <c r="A1" s="1" t="inlineStr">
        <is>
          <t>Cost-of-Turnover Model — Assumptions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 / format</t>
        </is>
      </c>
      <c r="D3" s="2" t="inlineStr">
        <is>
          <t>Rationale</t>
        </is>
      </c>
    </row>
    <row r="4">
      <c r="A4" t="inlineStr">
        <is>
          <t>HighRiskThreshold</t>
        </is>
      </c>
      <c r="B4" s="3" t="n">
        <v>0.45</v>
      </c>
      <c r="C4" t="inlineStr">
        <is>
          <t>probability (0–1)</t>
        </is>
      </c>
      <c r="D4" t="inlineStr">
        <is>
          <t>Employees with model P(attrition) ≥ this value are flagged for intervention. Aligned with the modeling High risk tier cutoff (0.45).</t>
        </is>
      </c>
    </row>
    <row r="5">
      <c r="A5" t="inlineStr">
        <is>
          <t>RetentionEffectiveness</t>
        </is>
      </c>
      <c r="B5" s="3" t="n">
        <v>0.42</v>
      </c>
      <c r="C5" t="inlineStr">
        <is>
          <t>share of expected leavers retained (0–1)</t>
        </is>
      </c>
      <c r="D5" t="inlineStr">
        <is>
          <t>Share of expected departures among flagged employees that a targeted retention program is assumed to prevent (workload review, manager check-in, selective retention actions).</t>
        </is>
      </c>
    </row>
    <row r="6">
      <c r="A6" t="inlineStr">
        <is>
          <t>ReplacementCostPct</t>
        </is>
      </c>
      <c r="B6" s="3" t="n">
        <v>1.5</v>
      </c>
      <c r="C6" t="inlineStr">
        <is>
          <t>× annual salary</t>
        </is>
      </c>
      <c r="D6" t="inlineStr">
        <is>
          <t>Fully loaded replacement cost as a multiple of annual salary (recruiting, onboarding, ramp-down/ramp-up productivity loss). 150% is a mid-range professional/knowledge-worker benchmark.</t>
        </is>
      </c>
    </row>
    <row r="7">
      <c r="A7" t="inlineStr">
        <is>
          <t>MonthsPerYear</t>
        </is>
      </c>
      <c r="B7" s="4" t="n">
        <v>12</v>
      </c>
      <c r="C7" t="inlineStr">
        <is>
          <t>months</t>
        </is>
      </c>
      <c r="D7" t="inlineStr">
        <is>
          <t>Converts monthly_income from the HR extract to annual salary.</t>
        </is>
      </c>
    </row>
    <row r="8"/>
    <row r="9">
      <c r="A9" s="5" t="inlineStr">
        <is>
          <t>How projected savings are calculated</t>
        </is>
      </c>
    </row>
    <row r="10">
      <c r="A10" s="6" t="inlineStr">
        <is>
          <t>For each flagged current employee i: ExpectedSavings_i = AttritionProbability_i × RetentionEffectiveness × ReplacementCostPct × AnnualSalary_i. Projected program savings = SUM of ExpectedSavings_i over flagged employees (see Cost Model sheet). All summary metrics are Excel formulas referencing these yellow input cells — change assumptions and the savings figure updates.</t>
        </is>
      </c>
    </row>
    <row r="11"/>
    <row r="12"/>
    <row r="13"/>
    <row r="14">
      <c r="A14" s="5" t="inlineStr">
        <is>
          <t>Data sources</t>
        </is>
      </c>
    </row>
    <row r="15">
      <c r="A15" s="7" t="inlineStr">
        <is>
          <t>Current employees: attrition = No in data/processed/employee_attrition_clean.csv. Probabilities / risk tiers: data/processed/employee_risk_scores.csv (XGBoost).</t>
        </is>
      </c>
    </row>
    <row r="16"/>
  </sheetData>
  <mergeCells count="3">
    <mergeCell ref="A10:D12"/>
    <mergeCell ref="A1:D1"/>
    <mergeCell ref="A15:D1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6" customWidth="1" min="3" max="3"/>
    <col width="12" customWidth="1" min="4" max="4"/>
    <col width="15" customWidth="1" min="5" max="5"/>
    <col width="25" customWidth="1" min="6" max="6"/>
    <col width="22" customWidth="1" min="7" max="7"/>
    <col width="12" customWidth="1" min="8" max="8"/>
    <col width="28" customWidth="1" min="9" max="9"/>
    <col width="25" customWidth="1" min="10" max="10"/>
    <col width="28" customWidth="1" min="11" max="11"/>
    <col width="24" customWidth="1" min="12" max="12"/>
  </cols>
  <sheetData>
    <row r="1">
      <c r="A1" s="2" t="inlineStr">
        <is>
          <t>EmployeeNumber</t>
        </is>
      </c>
      <c r="B1" s="2" t="inlineStr">
        <is>
          <t>Department</t>
        </is>
      </c>
      <c r="C1" s="2" t="inlineStr">
        <is>
          <t>JobRole</t>
        </is>
      </c>
      <c r="D1" s="2" t="inlineStr">
        <is>
          <t>OverTime</t>
        </is>
      </c>
      <c r="E1" s="2" t="inlineStr">
        <is>
          <t>MonthlyIncome</t>
        </is>
      </c>
      <c r="F1" s="2" t="inlineStr">
        <is>
          <t>AnnualSalary</t>
        </is>
      </c>
      <c r="G1" s="2" t="inlineStr">
        <is>
          <t>AttritionProbability</t>
        </is>
      </c>
      <c r="H1" s="2" t="inlineStr">
        <is>
          <t>RiskTier</t>
        </is>
      </c>
      <c r="I1" s="2" t="inlineStr">
        <is>
          <t>Flagged</t>
        </is>
      </c>
      <c r="J1" s="2" t="inlineStr">
        <is>
          <t>ReplacementCost</t>
        </is>
      </c>
      <c r="K1" s="2" t="inlineStr">
        <is>
          <t>ExpectedCostIfNoIntervention</t>
        </is>
      </c>
      <c r="L1" s="2" t="inlineStr">
        <is>
          <t>ExpectedSavingsIfRetained</t>
        </is>
      </c>
    </row>
    <row r="2">
      <c r="A2" t="n">
        <v>411</v>
      </c>
      <c r="B2" t="inlineStr">
        <is>
          <t>Sales</t>
        </is>
      </c>
      <c r="C2" t="inlineStr">
        <is>
          <t>Sales Representative</t>
        </is>
      </c>
      <c r="D2" t="inlineStr">
        <is>
          <t>No</t>
        </is>
      </c>
      <c r="E2" s="8" t="n">
        <v>1200</v>
      </c>
      <c r="F2" s="8">
        <f>E2*Assumptions!$B$7</f>
        <v/>
      </c>
      <c r="G2" s="9" t="n">
        <v>0.9595</v>
      </c>
      <c r="H2" t="inlineStr">
        <is>
          <t>High</t>
        </is>
      </c>
      <c r="I2">
        <f>IF(G2&gt;=Assumptions!$B$4,"Yes","No")</f>
        <v/>
      </c>
      <c r="J2" s="8">
        <f>F2*Assumptions!$B$6</f>
        <v/>
      </c>
      <c r="K2" s="10">
        <f>G2*J2</f>
        <v/>
      </c>
      <c r="L2" s="10">
        <f>IF(I2="Yes",G2*Assumptions!$B$5*J2,0)</f>
        <v/>
      </c>
    </row>
    <row r="3">
      <c r="A3" t="n">
        <v>2021</v>
      </c>
      <c r="B3" t="inlineStr">
        <is>
          <t>Sales</t>
        </is>
      </c>
      <c r="C3" t="inlineStr">
        <is>
          <t>Sales Representative</t>
        </is>
      </c>
      <c r="D3" t="inlineStr">
        <is>
          <t>Yes</t>
        </is>
      </c>
      <c r="E3" s="8" t="n">
        <v>2380</v>
      </c>
      <c r="F3" s="8">
        <f>E3*Assumptions!$B$7</f>
        <v/>
      </c>
      <c r="G3" s="9" t="n">
        <v>0.8948</v>
      </c>
      <c r="H3" t="inlineStr">
        <is>
          <t>High</t>
        </is>
      </c>
      <c r="I3">
        <f>IF(G3&gt;=Assumptions!$B$4,"Yes","No")</f>
        <v/>
      </c>
      <c r="J3" s="8">
        <f>F3*Assumptions!$B$6</f>
        <v/>
      </c>
      <c r="K3" s="10">
        <f>G3*J3</f>
        <v/>
      </c>
      <c r="L3" s="10">
        <f>IF(I3="Yes",G3*Assumptions!$B$5*J3,0)</f>
        <v/>
      </c>
    </row>
    <row r="4">
      <c r="A4" t="n">
        <v>1974</v>
      </c>
      <c r="B4" t="inlineStr">
        <is>
          <t>Research &amp; Development</t>
        </is>
      </c>
      <c r="C4" t="inlineStr">
        <is>
          <t>Laboratory Technician</t>
        </is>
      </c>
      <c r="D4" t="inlineStr">
        <is>
          <t>Yes</t>
        </is>
      </c>
      <c r="E4" s="8" t="n">
        <v>1129</v>
      </c>
      <c r="F4" s="8">
        <f>E4*Assumptions!$B$7</f>
        <v/>
      </c>
      <c r="G4" s="9" t="n">
        <v>0.8877</v>
      </c>
      <c r="H4" t="inlineStr">
        <is>
          <t>High</t>
        </is>
      </c>
      <c r="I4">
        <f>IF(G4&gt;=Assumptions!$B$4,"Yes","No")</f>
        <v/>
      </c>
      <c r="J4" s="8">
        <f>F4*Assumptions!$B$6</f>
        <v/>
      </c>
      <c r="K4" s="10">
        <f>G4*J4</f>
        <v/>
      </c>
      <c r="L4" s="10">
        <f>IF(I4="Yes",G4*Assumptions!$B$5*J4,0)</f>
        <v/>
      </c>
    </row>
    <row r="5">
      <c r="A5" t="n">
        <v>1056</v>
      </c>
      <c r="B5" t="inlineStr">
        <is>
          <t>Sales</t>
        </is>
      </c>
      <c r="C5" t="inlineStr">
        <is>
          <t>Sales Representative</t>
        </is>
      </c>
      <c r="D5" t="inlineStr">
        <is>
          <t>No</t>
        </is>
      </c>
      <c r="E5" s="8" t="n">
        <v>1052</v>
      </c>
      <c r="F5" s="8">
        <f>E5*Assumptions!$B$7</f>
        <v/>
      </c>
      <c r="G5" s="9" t="n">
        <v>0.796</v>
      </c>
      <c r="H5" t="inlineStr">
        <is>
          <t>High</t>
        </is>
      </c>
      <c r="I5">
        <f>IF(G5&gt;=Assumptions!$B$4,"Yes","No")</f>
        <v/>
      </c>
      <c r="J5" s="8">
        <f>F5*Assumptions!$B$6</f>
        <v/>
      </c>
      <c r="K5" s="10">
        <f>G5*J5</f>
        <v/>
      </c>
      <c r="L5" s="10">
        <f>IF(I5="Yes",G5*Assumptions!$B$5*J5,0)</f>
        <v/>
      </c>
    </row>
    <row r="6">
      <c r="A6" t="n">
        <v>643</v>
      </c>
      <c r="B6" t="inlineStr">
        <is>
          <t>Research &amp; Development</t>
        </is>
      </c>
      <c r="C6" t="inlineStr">
        <is>
          <t>Laboratory Technician</t>
        </is>
      </c>
      <c r="D6" t="inlineStr">
        <is>
          <t>No</t>
        </is>
      </c>
      <c r="E6" s="8" t="n">
        <v>2127</v>
      </c>
      <c r="F6" s="8">
        <f>E6*Assumptions!$B$7</f>
        <v/>
      </c>
      <c r="G6" s="9" t="n">
        <v>0.72</v>
      </c>
      <c r="H6" t="inlineStr">
        <is>
          <t>High</t>
        </is>
      </c>
      <c r="I6">
        <f>IF(G6&gt;=Assumptions!$B$4,"Yes","No")</f>
        <v/>
      </c>
      <c r="J6" s="8">
        <f>F6*Assumptions!$B$6</f>
        <v/>
      </c>
      <c r="K6" s="10">
        <f>G6*J6</f>
        <v/>
      </c>
      <c r="L6" s="10">
        <f>IF(I6="Yes",G6*Assumptions!$B$5*J6,0)</f>
        <v/>
      </c>
    </row>
    <row r="7">
      <c r="A7" t="n">
        <v>1839</v>
      </c>
      <c r="B7" t="inlineStr">
        <is>
          <t>Research &amp; Development</t>
        </is>
      </c>
      <c r="C7" t="inlineStr">
        <is>
          <t>Research Scientist</t>
        </is>
      </c>
      <c r="D7" t="inlineStr">
        <is>
          <t>No</t>
        </is>
      </c>
      <c r="E7" s="8" t="n">
        <v>1514</v>
      </c>
      <c r="F7" s="8">
        <f>E7*Assumptions!$B$7</f>
        <v/>
      </c>
      <c r="G7" s="9" t="n">
        <v>0.7171</v>
      </c>
      <c r="H7" t="inlineStr">
        <is>
          <t>High</t>
        </is>
      </c>
      <c r="I7">
        <f>IF(G7&gt;=Assumptions!$B$4,"Yes","No")</f>
        <v/>
      </c>
      <c r="J7" s="8">
        <f>F7*Assumptions!$B$6</f>
        <v/>
      </c>
      <c r="K7" s="10">
        <f>G7*J7</f>
        <v/>
      </c>
      <c r="L7" s="10">
        <f>IF(I7="Yes",G7*Assumptions!$B$5*J7,0)</f>
        <v/>
      </c>
    </row>
    <row r="8">
      <c r="A8" t="n">
        <v>833</v>
      </c>
      <c r="B8" t="inlineStr">
        <is>
          <t>Research &amp; Development</t>
        </is>
      </c>
      <c r="C8" t="inlineStr">
        <is>
          <t>Manufacturing Director</t>
        </is>
      </c>
      <c r="D8" t="inlineStr">
        <is>
          <t>Yes</t>
        </is>
      </c>
      <c r="E8" s="8" t="n">
        <v>6877</v>
      </c>
      <c r="F8" s="8">
        <f>E8*Assumptions!$B$7</f>
        <v/>
      </c>
      <c r="G8" s="9" t="n">
        <v>0.669</v>
      </c>
      <c r="H8" t="inlineStr">
        <is>
          <t>High</t>
        </is>
      </c>
      <c r="I8">
        <f>IF(G8&gt;=Assumptions!$B$4,"Yes","No")</f>
        <v/>
      </c>
      <c r="J8" s="8">
        <f>F8*Assumptions!$B$6</f>
        <v/>
      </c>
      <c r="K8" s="10">
        <f>G8*J8</f>
        <v/>
      </c>
      <c r="L8" s="10">
        <f>IF(I8="Yes",G8*Assumptions!$B$5*J8,0)</f>
        <v/>
      </c>
    </row>
    <row r="9">
      <c r="A9" t="n">
        <v>1036</v>
      </c>
      <c r="B9" t="inlineStr">
        <is>
          <t>Sales</t>
        </is>
      </c>
      <c r="C9" t="inlineStr">
        <is>
          <t>Sales Executive</t>
        </is>
      </c>
      <c r="D9" t="inlineStr">
        <is>
          <t>Yes</t>
        </is>
      </c>
      <c r="E9" s="8" t="n">
        <v>6861</v>
      </c>
      <c r="F9" s="8">
        <f>E9*Assumptions!$B$7</f>
        <v/>
      </c>
      <c r="G9" s="9" t="n">
        <v>0.584</v>
      </c>
      <c r="H9" t="inlineStr">
        <is>
          <t>High</t>
        </is>
      </c>
      <c r="I9">
        <f>IF(G9&gt;=Assumptions!$B$4,"Yes","No")</f>
        <v/>
      </c>
      <c r="J9" s="8">
        <f>F9*Assumptions!$B$6</f>
        <v/>
      </c>
      <c r="K9" s="10">
        <f>G9*J9</f>
        <v/>
      </c>
      <c r="L9" s="10">
        <f>IF(I9="Yes",G9*Assumptions!$B$5*J9,0)</f>
        <v/>
      </c>
    </row>
    <row r="10">
      <c r="A10" t="n">
        <v>1961</v>
      </c>
      <c r="B10" t="inlineStr">
        <is>
          <t>Sales</t>
        </is>
      </c>
      <c r="C10" t="inlineStr">
        <is>
          <t>Sales Representative</t>
        </is>
      </c>
      <c r="D10" t="inlineStr">
        <is>
          <t>No</t>
        </is>
      </c>
      <c r="E10" s="8" t="n">
        <v>2858</v>
      </c>
      <c r="F10" s="8">
        <f>E10*Assumptions!$B$7</f>
        <v/>
      </c>
      <c r="G10" s="9" t="n">
        <v>0.5776</v>
      </c>
      <c r="H10" t="inlineStr">
        <is>
          <t>High</t>
        </is>
      </c>
      <c r="I10">
        <f>IF(G10&gt;=Assumptions!$B$4,"Yes","No")</f>
        <v/>
      </c>
      <c r="J10" s="8">
        <f>F10*Assumptions!$B$6</f>
        <v/>
      </c>
      <c r="K10" s="10">
        <f>G10*J10</f>
        <v/>
      </c>
      <c r="L10" s="10">
        <f>IF(I10="Yes",G10*Assumptions!$B$5*J10,0)</f>
        <v/>
      </c>
    </row>
    <row r="11">
      <c r="A11" t="n">
        <v>399</v>
      </c>
      <c r="B11" t="inlineStr">
        <is>
          <t>Sales</t>
        </is>
      </c>
      <c r="C11" t="inlineStr">
        <is>
          <t>Sales Representative</t>
        </is>
      </c>
      <c r="D11" t="inlineStr">
        <is>
          <t>No</t>
        </is>
      </c>
      <c r="E11" s="8" t="n">
        <v>2789</v>
      </c>
      <c r="F11" s="8">
        <f>E11*Assumptions!$B$7</f>
        <v/>
      </c>
      <c r="G11" s="9" t="n">
        <v>0.575</v>
      </c>
      <c r="H11" t="inlineStr">
        <is>
          <t>High</t>
        </is>
      </c>
      <c r="I11">
        <f>IF(G11&gt;=Assumptions!$B$4,"Yes","No")</f>
        <v/>
      </c>
      <c r="J11" s="8">
        <f>F11*Assumptions!$B$6</f>
        <v/>
      </c>
      <c r="K11" s="10">
        <f>G11*J11</f>
        <v/>
      </c>
      <c r="L11" s="10">
        <f>IF(I11="Yes",G11*Assumptions!$B$5*J11,0)</f>
        <v/>
      </c>
    </row>
    <row r="12">
      <c r="A12" t="n">
        <v>1646</v>
      </c>
      <c r="B12" t="inlineStr">
        <is>
          <t>Research &amp; Development</t>
        </is>
      </c>
      <c r="C12" t="inlineStr">
        <is>
          <t>Research Scientist</t>
        </is>
      </c>
      <c r="D12" t="inlineStr">
        <is>
          <t>Yes</t>
        </is>
      </c>
      <c r="E12" s="8" t="n">
        <v>3760</v>
      </c>
      <c r="F12" s="8">
        <f>E12*Assumptions!$B$7</f>
        <v/>
      </c>
      <c r="G12" s="9" t="n">
        <v>0.5738</v>
      </c>
      <c r="H12" t="inlineStr">
        <is>
          <t>High</t>
        </is>
      </c>
      <c r="I12">
        <f>IF(G12&gt;=Assumptions!$B$4,"Yes","No")</f>
        <v/>
      </c>
      <c r="J12" s="8">
        <f>F12*Assumptions!$B$6</f>
        <v/>
      </c>
      <c r="K12" s="10">
        <f>G12*J12</f>
        <v/>
      </c>
      <c r="L12" s="10">
        <f>IF(I12="Yes",G12*Assumptions!$B$5*J12,0)</f>
        <v/>
      </c>
    </row>
    <row r="13">
      <c r="A13" t="n">
        <v>144</v>
      </c>
      <c r="B13" t="inlineStr">
        <is>
          <t>Research &amp; Development</t>
        </is>
      </c>
      <c r="C13" t="inlineStr">
        <is>
          <t>Laboratory Technician</t>
        </is>
      </c>
      <c r="D13" t="inlineStr">
        <is>
          <t>No</t>
        </is>
      </c>
      <c r="E13" s="8" t="n">
        <v>2871</v>
      </c>
      <c r="F13" s="8">
        <f>E13*Assumptions!$B$7</f>
        <v/>
      </c>
      <c r="G13" s="9" t="n">
        <v>0.5697</v>
      </c>
      <c r="H13" t="inlineStr">
        <is>
          <t>High</t>
        </is>
      </c>
      <c r="I13">
        <f>IF(G13&gt;=Assumptions!$B$4,"Yes","No")</f>
        <v/>
      </c>
      <c r="J13" s="8">
        <f>F13*Assumptions!$B$6</f>
        <v/>
      </c>
      <c r="K13" s="10">
        <f>G13*J13</f>
        <v/>
      </c>
      <c r="L13" s="10">
        <f>IF(I13="Yes",G13*Assumptions!$B$5*J13,0)</f>
        <v/>
      </c>
    </row>
    <row r="14">
      <c r="A14" t="n">
        <v>1198</v>
      </c>
      <c r="B14" t="inlineStr">
        <is>
          <t>Research &amp; Development</t>
        </is>
      </c>
      <c r="C14" t="inlineStr">
        <is>
          <t>Laboratory Technician</t>
        </is>
      </c>
      <c r="D14" t="inlineStr">
        <is>
          <t>No</t>
        </is>
      </c>
      <c r="E14" s="8" t="n">
        <v>3033</v>
      </c>
      <c r="F14" s="8">
        <f>E14*Assumptions!$B$7</f>
        <v/>
      </c>
      <c r="G14" s="9" t="n">
        <v>0.5501</v>
      </c>
      <c r="H14" t="inlineStr">
        <is>
          <t>High</t>
        </is>
      </c>
      <c r="I14">
        <f>IF(G14&gt;=Assumptions!$B$4,"Yes","No")</f>
        <v/>
      </c>
      <c r="J14" s="8">
        <f>F14*Assumptions!$B$6</f>
        <v/>
      </c>
      <c r="K14" s="10">
        <f>G14*J14</f>
        <v/>
      </c>
      <c r="L14" s="10">
        <f>IF(I14="Yes",G14*Assumptions!$B$5*J14,0)</f>
        <v/>
      </c>
    </row>
    <row r="15">
      <c r="A15" t="n">
        <v>1030</v>
      </c>
      <c r="B15" t="inlineStr">
        <is>
          <t>Research &amp; Development</t>
        </is>
      </c>
      <c r="C15" t="inlineStr">
        <is>
          <t>Laboratory Technician</t>
        </is>
      </c>
      <c r="D15" t="inlineStr">
        <is>
          <t>No</t>
        </is>
      </c>
      <c r="E15" s="8" t="n">
        <v>2380</v>
      </c>
      <c r="F15" s="8">
        <f>E15*Assumptions!$B$7</f>
        <v/>
      </c>
      <c r="G15" s="9" t="n">
        <v>0.5481</v>
      </c>
      <c r="H15" t="inlineStr">
        <is>
          <t>High</t>
        </is>
      </c>
      <c r="I15">
        <f>IF(G15&gt;=Assumptions!$B$4,"Yes","No")</f>
        <v/>
      </c>
      <c r="J15" s="8">
        <f>F15*Assumptions!$B$6</f>
        <v/>
      </c>
      <c r="K15" s="10">
        <f>G15*J15</f>
        <v/>
      </c>
      <c r="L15" s="10">
        <f>IF(I15="Yes",G15*Assumptions!$B$5*J15,0)</f>
        <v/>
      </c>
    </row>
    <row r="16">
      <c r="A16" t="n">
        <v>1495</v>
      </c>
      <c r="B16" t="inlineStr">
        <is>
          <t>Sales</t>
        </is>
      </c>
      <c r="C16" t="inlineStr">
        <is>
          <t>Sales Representative</t>
        </is>
      </c>
      <c r="D16" t="inlineStr">
        <is>
          <t>No</t>
        </is>
      </c>
      <c r="E16" s="8" t="n">
        <v>2033</v>
      </c>
      <c r="F16" s="8">
        <f>E16*Assumptions!$B$7</f>
        <v/>
      </c>
      <c r="G16" s="9" t="n">
        <v>0.5205</v>
      </c>
      <c r="H16" t="inlineStr">
        <is>
          <t>High</t>
        </is>
      </c>
      <c r="I16">
        <f>IF(G16&gt;=Assumptions!$B$4,"Yes","No")</f>
        <v/>
      </c>
      <c r="J16" s="8">
        <f>F16*Assumptions!$B$6</f>
        <v/>
      </c>
      <c r="K16" s="10">
        <f>G16*J16</f>
        <v/>
      </c>
      <c r="L16" s="10">
        <f>IF(I16="Yes",G16*Assumptions!$B$5*J16,0)</f>
        <v/>
      </c>
    </row>
    <row r="17">
      <c r="A17" t="n">
        <v>1448</v>
      </c>
      <c r="B17" t="inlineStr">
        <is>
          <t>Research &amp; Development</t>
        </is>
      </c>
      <c r="C17" t="inlineStr">
        <is>
          <t>Research Scientist</t>
        </is>
      </c>
      <c r="D17" t="inlineStr">
        <is>
          <t>Yes</t>
        </is>
      </c>
      <c r="E17" s="8" t="n">
        <v>2127</v>
      </c>
      <c r="F17" s="8">
        <f>E17*Assumptions!$B$7</f>
        <v/>
      </c>
      <c r="G17" s="9" t="n">
        <v>0.5174</v>
      </c>
      <c r="H17" t="inlineStr">
        <is>
          <t>High</t>
        </is>
      </c>
      <c r="I17">
        <f>IF(G17&gt;=Assumptions!$B$4,"Yes","No")</f>
        <v/>
      </c>
      <c r="J17" s="8">
        <f>F17*Assumptions!$B$6</f>
        <v/>
      </c>
      <c r="K17" s="10">
        <f>G17*J17</f>
        <v/>
      </c>
      <c r="L17" s="10">
        <f>IF(I17="Yes",G17*Assumptions!$B$5*J17,0)</f>
        <v/>
      </c>
    </row>
    <row r="18">
      <c r="A18" t="n">
        <v>1581</v>
      </c>
      <c r="B18" t="inlineStr">
        <is>
          <t>Research &amp; Development</t>
        </is>
      </c>
      <c r="C18" t="inlineStr">
        <is>
          <t>Research Scientist</t>
        </is>
      </c>
      <c r="D18" t="inlineStr">
        <is>
          <t>No</t>
        </is>
      </c>
      <c r="E18" s="8" t="n">
        <v>2061</v>
      </c>
      <c r="F18" s="8">
        <f>E18*Assumptions!$B$7</f>
        <v/>
      </c>
      <c r="G18" s="9" t="n">
        <v>0.5165</v>
      </c>
      <c r="H18" t="inlineStr">
        <is>
          <t>High</t>
        </is>
      </c>
      <c r="I18">
        <f>IF(G18&gt;=Assumptions!$B$4,"Yes","No")</f>
        <v/>
      </c>
      <c r="J18" s="8">
        <f>F18*Assumptions!$B$6</f>
        <v/>
      </c>
      <c r="K18" s="10">
        <f>G18*J18</f>
        <v/>
      </c>
      <c r="L18" s="10">
        <f>IF(I18="Yes",G18*Assumptions!$B$5*J18,0)</f>
        <v/>
      </c>
    </row>
    <row r="19">
      <c r="A19" t="n">
        <v>1391</v>
      </c>
      <c r="B19" t="inlineStr">
        <is>
          <t>Sales</t>
        </is>
      </c>
      <c r="C19" t="inlineStr">
        <is>
          <t>Sales Executive</t>
        </is>
      </c>
      <c r="D19" t="inlineStr">
        <is>
          <t>No</t>
        </is>
      </c>
      <c r="E19" s="8" t="n">
        <v>10596</v>
      </c>
      <c r="F19" s="8">
        <f>E19*Assumptions!$B$7</f>
        <v/>
      </c>
      <c r="G19" s="9" t="n">
        <v>0.5158</v>
      </c>
      <c r="H19" t="inlineStr">
        <is>
          <t>High</t>
        </is>
      </c>
      <c r="I19">
        <f>IF(G19&gt;=Assumptions!$B$4,"Yes","No")</f>
        <v/>
      </c>
      <c r="J19" s="8">
        <f>F19*Assumptions!$B$6</f>
        <v/>
      </c>
      <c r="K19" s="10">
        <f>G19*J19</f>
        <v/>
      </c>
      <c r="L19" s="10">
        <f>IF(I19="Yes",G19*Assumptions!$B$5*J19,0)</f>
        <v/>
      </c>
    </row>
    <row r="20">
      <c r="A20" t="n">
        <v>764</v>
      </c>
      <c r="B20" t="inlineStr">
        <is>
          <t>Research &amp; Development</t>
        </is>
      </c>
      <c r="C20" t="inlineStr">
        <is>
          <t>Healthcare Representative</t>
        </is>
      </c>
      <c r="D20" t="inlineStr">
        <is>
          <t>No</t>
        </is>
      </c>
      <c r="E20" s="8" t="n">
        <v>6811</v>
      </c>
      <c r="F20" s="8">
        <f>E20*Assumptions!$B$7</f>
        <v/>
      </c>
      <c r="G20" s="9" t="n">
        <v>0.5094</v>
      </c>
      <c r="H20" t="inlineStr">
        <is>
          <t>High</t>
        </is>
      </c>
      <c r="I20">
        <f>IF(G20&gt;=Assumptions!$B$4,"Yes","No")</f>
        <v/>
      </c>
      <c r="J20" s="8">
        <f>F20*Assumptions!$B$6</f>
        <v/>
      </c>
      <c r="K20" s="10">
        <f>G20*J20</f>
        <v/>
      </c>
      <c r="L20" s="10">
        <f>IF(I20="Yes",G20*Assumptions!$B$5*J20,0)</f>
        <v/>
      </c>
    </row>
    <row r="21">
      <c r="A21" t="n">
        <v>1865</v>
      </c>
      <c r="B21" t="inlineStr">
        <is>
          <t>Human Resources</t>
        </is>
      </c>
      <c r="C21" t="inlineStr">
        <is>
          <t>Human Resources</t>
        </is>
      </c>
      <c r="D21" t="inlineStr">
        <is>
          <t>No</t>
        </is>
      </c>
      <c r="E21" s="8" t="n">
        <v>2804</v>
      </c>
      <c r="F21" s="8">
        <f>E21*Assumptions!$B$7</f>
        <v/>
      </c>
      <c r="G21" s="9" t="n">
        <v>0.508</v>
      </c>
      <c r="H21" t="inlineStr">
        <is>
          <t>High</t>
        </is>
      </c>
      <c r="I21">
        <f>IF(G21&gt;=Assumptions!$B$4,"Yes","No")</f>
        <v/>
      </c>
      <c r="J21" s="8">
        <f>F21*Assumptions!$B$6</f>
        <v/>
      </c>
      <c r="K21" s="10">
        <f>G21*J21</f>
        <v/>
      </c>
      <c r="L21" s="10">
        <f>IF(I21="Yes",G21*Assumptions!$B$5*J21,0)</f>
        <v/>
      </c>
    </row>
    <row r="22">
      <c r="A22" t="n">
        <v>1296</v>
      </c>
      <c r="B22" t="inlineStr">
        <is>
          <t>Research &amp; Development</t>
        </is>
      </c>
      <c r="C22" t="inlineStr">
        <is>
          <t>Laboratory Technician</t>
        </is>
      </c>
      <c r="D22" t="inlineStr">
        <is>
          <t>Yes</t>
        </is>
      </c>
      <c r="E22" s="8" t="n">
        <v>3867</v>
      </c>
      <c r="F22" s="8">
        <f>E22*Assumptions!$B$7</f>
        <v/>
      </c>
      <c r="G22" s="9" t="n">
        <v>0.505</v>
      </c>
      <c r="H22" t="inlineStr">
        <is>
          <t>High</t>
        </is>
      </c>
      <c r="I22">
        <f>IF(G22&gt;=Assumptions!$B$4,"Yes","No")</f>
        <v/>
      </c>
      <c r="J22" s="8">
        <f>F22*Assumptions!$B$6</f>
        <v/>
      </c>
      <c r="K22" s="10">
        <f>G22*J22</f>
        <v/>
      </c>
      <c r="L22" s="10">
        <f>IF(I22="Yes",G22*Assumptions!$B$5*J22,0)</f>
        <v/>
      </c>
    </row>
    <row r="23">
      <c r="A23" t="n">
        <v>54</v>
      </c>
      <c r="B23" t="inlineStr">
        <is>
          <t>Research &amp; Development</t>
        </is>
      </c>
      <c r="C23" t="inlineStr">
        <is>
          <t>Laboratory Technician</t>
        </is>
      </c>
      <c r="D23" t="inlineStr">
        <is>
          <t>No</t>
        </is>
      </c>
      <c r="E23" s="8" t="n">
        <v>2341</v>
      </c>
      <c r="F23" s="8">
        <f>E23*Assumptions!$B$7</f>
        <v/>
      </c>
      <c r="G23" s="9" t="n">
        <v>0.5044999999999999</v>
      </c>
      <c r="H23" t="inlineStr">
        <is>
          <t>High</t>
        </is>
      </c>
      <c r="I23">
        <f>IF(G23&gt;=Assumptions!$B$4,"Yes","No")</f>
        <v/>
      </c>
      <c r="J23" s="8">
        <f>F23*Assumptions!$B$6</f>
        <v/>
      </c>
      <c r="K23" s="10">
        <f>G23*J23</f>
        <v/>
      </c>
      <c r="L23" s="10">
        <f>IF(I23="Yes",G23*Assumptions!$B$5*J23,0)</f>
        <v/>
      </c>
    </row>
    <row r="24">
      <c r="A24" t="n">
        <v>934</v>
      </c>
      <c r="B24" t="inlineStr">
        <is>
          <t>Research &amp; Development</t>
        </is>
      </c>
      <c r="C24" t="inlineStr">
        <is>
          <t>Laboratory Technician</t>
        </is>
      </c>
      <c r="D24" t="inlineStr">
        <is>
          <t>No</t>
        </is>
      </c>
      <c r="E24" s="8" t="n">
        <v>2008</v>
      </c>
      <c r="F24" s="8">
        <f>E24*Assumptions!$B$7</f>
        <v/>
      </c>
      <c r="G24" s="9" t="n">
        <v>0.4995</v>
      </c>
      <c r="H24" t="inlineStr">
        <is>
          <t>High</t>
        </is>
      </c>
      <c r="I24">
        <f>IF(G24&gt;=Assumptions!$B$4,"Yes","No")</f>
        <v/>
      </c>
      <c r="J24" s="8">
        <f>F24*Assumptions!$B$6</f>
        <v/>
      </c>
      <c r="K24" s="10">
        <f>G24*J24</f>
        <v/>
      </c>
      <c r="L24" s="10">
        <f>IF(I24="Yes",G24*Assumptions!$B$5*J24,0)</f>
        <v/>
      </c>
    </row>
    <row r="25">
      <c r="A25" t="n">
        <v>1551</v>
      </c>
      <c r="B25" t="inlineStr">
        <is>
          <t>Research &amp; Development</t>
        </is>
      </c>
      <c r="C25" t="inlineStr">
        <is>
          <t>Laboratory Technician</t>
        </is>
      </c>
      <c r="D25" t="inlineStr">
        <is>
          <t>No</t>
        </is>
      </c>
      <c r="E25" s="8" t="n">
        <v>2296</v>
      </c>
      <c r="F25" s="8">
        <f>E25*Assumptions!$B$7</f>
        <v/>
      </c>
      <c r="G25" s="9" t="n">
        <v>0.4936</v>
      </c>
      <c r="H25" t="inlineStr">
        <is>
          <t>High</t>
        </is>
      </c>
      <c r="I25">
        <f>IF(G25&gt;=Assumptions!$B$4,"Yes","No")</f>
        <v/>
      </c>
      <c r="J25" s="8">
        <f>F25*Assumptions!$B$6</f>
        <v/>
      </c>
      <c r="K25" s="10">
        <f>G25*J25</f>
        <v/>
      </c>
      <c r="L25" s="10">
        <f>IF(I25="Yes",G25*Assumptions!$B$5*J25,0)</f>
        <v/>
      </c>
    </row>
    <row r="26">
      <c r="A26" t="n">
        <v>910</v>
      </c>
      <c r="B26" t="inlineStr">
        <is>
          <t>Human Resources</t>
        </is>
      </c>
      <c r="C26" t="inlineStr">
        <is>
          <t>Human Resources</t>
        </is>
      </c>
      <c r="D26" t="inlineStr">
        <is>
          <t>Yes</t>
        </is>
      </c>
      <c r="E26" s="8" t="n">
        <v>2277</v>
      </c>
      <c r="F26" s="8">
        <f>E26*Assumptions!$B$7</f>
        <v/>
      </c>
      <c r="G26" s="9" t="n">
        <v>0.4927</v>
      </c>
      <c r="H26" t="inlineStr">
        <is>
          <t>High</t>
        </is>
      </c>
      <c r="I26">
        <f>IF(G26&gt;=Assumptions!$B$4,"Yes","No")</f>
        <v/>
      </c>
      <c r="J26" s="8">
        <f>F26*Assumptions!$B$6</f>
        <v/>
      </c>
      <c r="K26" s="10">
        <f>G26*J26</f>
        <v/>
      </c>
      <c r="L26" s="10">
        <f>IF(I26="Yes",G26*Assumptions!$B$5*J26,0)</f>
        <v/>
      </c>
    </row>
    <row r="27">
      <c r="A27" t="n">
        <v>954</v>
      </c>
      <c r="B27" t="inlineStr">
        <is>
          <t>Sales</t>
        </is>
      </c>
      <c r="C27" t="inlineStr">
        <is>
          <t>Sales Executive</t>
        </is>
      </c>
      <c r="D27" t="inlineStr">
        <is>
          <t>No</t>
        </is>
      </c>
      <c r="E27" s="8" t="n">
        <v>9705</v>
      </c>
      <c r="F27" s="8">
        <f>E27*Assumptions!$B$7</f>
        <v/>
      </c>
      <c r="G27" s="9" t="n">
        <v>0.4901</v>
      </c>
      <c r="H27" t="inlineStr">
        <is>
          <t>High</t>
        </is>
      </c>
      <c r="I27">
        <f>IF(G27&gt;=Assumptions!$B$4,"Yes","No")</f>
        <v/>
      </c>
      <c r="J27" s="8">
        <f>F27*Assumptions!$B$6</f>
        <v/>
      </c>
      <c r="K27" s="10">
        <f>G27*J27</f>
        <v/>
      </c>
      <c r="L27" s="10">
        <f>IF(I27="Yes",G27*Assumptions!$B$5*J27,0)</f>
        <v/>
      </c>
    </row>
    <row r="28">
      <c r="A28" t="n">
        <v>379</v>
      </c>
      <c r="B28" t="inlineStr">
        <is>
          <t>Research &amp; Development</t>
        </is>
      </c>
      <c r="C28" t="inlineStr">
        <is>
          <t>Research Scientist</t>
        </is>
      </c>
      <c r="D28" t="inlineStr">
        <is>
          <t>No</t>
        </is>
      </c>
      <c r="E28" s="8" t="n">
        <v>3230</v>
      </c>
      <c r="F28" s="8">
        <f>E28*Assumptions!$B$7</f>
        <v/>
      </c>
      <c r="G28" s="9" t="n">
        <v>0.4707</v>
      </c>
      <c r="H28" t="inlineStr">
        <is>
          <t>High</t>
        </is>
      </c>
      <c r="I28">
        <f>IF(G28&gt;=Assumptions!$B$4,"Yes","No")</f>
        <v/>
      </c>
      <c r="J28" s="8">
        <f>F28*Assumptions!$B$6</f>
        <v/>
      </c>
      <c r="K28" s="10">
        <f>G28*J28</f>
        <v/>
      </c>
      <c r="L28" s="10">
        <f>IF(I28="Yes",G28*Assumptions!$B$5*J28,0)</f>
        <v/>
      </c>
    </row>
    <row r="29">
      <c r="A29" t="n">
        <v>832</v>
      </c>
      <c r="B29" t="inlineStr">
        <is>
          <t>Research &amp; Development</t>
        </is>
      </c>
      <c r="C29" t="inlineStr">
        <is>
          <t>Laboratory Technician</t>
        </is>
      </c>
      <c r="D29" t="inlineStr">
        <is>
          <t>No</t>
        </is>
      </c>
      <c r="E29" s="8" t="n">
        <v>5094</v>
      </c>
      <c r="F29" s="8">
        <f>E29*Assumptions!$B$7</f>
        <v/>
      </c>
      <c r="G29" s="9" t="n">
        <v>0.4706</v>
      </c>
      <c r="H29" t="inlineStr">
        <is>
          <t>High</t>
        </is>
      </c>
      <c r="I29">
        <f>IF(G29&gt;=Assumptions!$B$4,"Yes","No")</f>
        <v/>
      </c>
      <c r="J29" s="8">
        <f>F29*Assumptions!$B$6</f>
        <v/>
      </c>
      <c r="K29" s="10">
        <f>G29*J29</f>
        <v/>
      </c>
      <c r="L29" s="10">
        <f>IF(I29="Yes",G29*Assumptions!$B$5*J29,0)</f>
        <v/>
      </c>
    </row>
    <row r="30">
      <c r="A30" t="n">
        <v>424</v>
      </c>
      <c r="B30" t="inlineStr">
        <is>
          <t>Human Resources</t>
        </is>
      </c>
      <c r="C30" t="inlineStr">
        <is>
          <t>Human Resources</t>
        </is>
      </c>
      <c r="D30" t="inlineStr">
        <is>
          <t>No</t>
        </is>
      </c>
      <c r="E30" s="8" t="n">
        <v>6410</v>
      </c>
      <c r="F30" s="8">
        <f>E30*Assumptions!$B$7</f>
        <v/>
      </c>
      <c r="G30" s="9" t="n">
        <v>0.4706</v>
      </c>
      <c r="H30" t="inlineStr">
        <is>
          <t>High</t>
        </is>
      </c>
      <c r="I30">
        <f>IF(G30&gt;=Assumptions!$B$4,"Yes","No")</f>
        <v/>
      </c>
      <c r="J30" s="8">
        <f>F30*Assumptions!$B$6</f>
        <v/>
      </c>
      <c r="K30" s="10">
        <f>G30*J30</f>
        <v/>
      </c>
      <c r="L30" s="10">
        <f>IF(I30="Yes",G30*Assumptions!$B$5*J30,0)</f>
        <v/>
      </c>
    </row>
    <row r="31">
      <c r="A31" t="n">
        <v>434</v>
      </c>
      <c r="B31" t="inlineStr">
        <is>
          <t>Research &amp; Development</t>
        </is>
      </c>
      <c r="C31" t="inlineStr">
        <is>
          <t>Research Scientist</t>
        </is>
      </c>
      <c r="D31" t="inlineStr">
        <is>
          <t>Yes</t>
        </is>
      </c>
      <c r="E31" s="8" t="n">
        <v>2478</v>
      </c>
      <c r="F31" s="8">
        <f>E31*Assumptions!$B$7</f>
        <v/>
      </c>
      <c r="G31" s="9" t="n">
        <v>0.4612</v>
      </c>
      <c r="H31" t="inlineStr">
        <is>
          <t>High</t>
        </is>
      </c>
      <c r="I31">
        <f>IF(G31&gt;=Assumptions!$B$4,"Yes","No")</f>
        <v/>
      </c>
      <c r="J31" s="8">
        <f>F31*Assumptions!$B$6</f>
        <v/>
      </c>
      <c r="K31" s="10">
        <f>G31*J31</f>
        <v/>
      </c>
      <c r="L31" s="10">
        <f>IF(I31="Yes",G31*Assumptions!$B$5*J31,0)</f>
        <v/>
      </c>
    </row>
    <row r="32">
      <c r="A32" t="n">
        <v>113</v>
      </c>
      <c r="B32" t="inlineStr">
        <is>
          <t>Sales</t>
        </is>
      </c>
      <c r="C32" t="inlineStr">
        <is>
          <t>Sales Representative</t>
        </is>
      </c>
      <c r="D32" t="inlineStr">
        <is>
          <t>No</t>
        </is>
      </c>
      <c r="E32" s="8" t="n">
        <v>2322</v>
      </c>
      <c r="F32" s="8">
        <f>E32*Assumptions!$B$7</f>
        <v/>
      </c>
      <c r="G32" s="9" t="n">
        <v>0.4527</v>
      </c>
      <c r="H32" t="inlineStr">
        <is>
          <t>High</t>
        </is>
      </c>
      <c r="I32">
        <f>IF(G32&gt;=Assumptions!$B$4,"Yes","No")</f>
        <v/>
      </c>
      <c r="J32" s="8">
        <f>F32*Assumptions!$B$6</f>
        <v/>
      </c>
      <c r="K32" s="10">
        <f>G32*J32</f>
        <v/>
      </c>
      <c r="L32" s="10">
        <f>IF(I32="Yes",G32*Assumptions!$B$5*J32,0)</f>
        <v/>
      </c>
    </row>
    <row r="33">
      <c r="A33" t="n">
        <v>1269</v>
      </c>
      <c r="B33" t="inlineStr">
        <is>
          <t>Research &amp; Development</t>
        </is>
      </c>
      <c r="C33" t="inlineStr">
        <is>
          <t>Research Scientist</t>
        </is>
      </c>
      <c r="D33" t="inlineStr">
        <is>
          <t>Yes</t>
        </is>
      </c>
      <c r="E33" s="8" t="n">
        <v>2994</v>
      </c>
      <c r="F33" s="8">
        <f>E33*Assumptions!$B$7</f>
        <v/>
      </c>
      <c r="G33" s="9" t="n">
        <v>0.4492</v>
      </c>
      <c r="H33" t="inlineStr">
        <is>
          <t>Medium</t>
        </is>
      </c>
      <c r="I33">
        <f>IF(G33&gt;=Assumptions!$B$4,"Yes","No")</f>
        <v/>
      </c>
      <c r="J33" s="8">
        <f>F33*Assumptions!$B$6</f>
        <v/>
      </c>
      <c r="K33" s="10">
        <f>G33*J33</f>
        <v/>
      </c>
      <c r="L33" s="10">
        <f>IF(I33="Yes",G33*Assumptions!$B$5*J33,0)</f>
        <v/>
      </c>
    </row>
    <row r="34">
      <c r="A34" t="n">
        <v>22</v>
      </c>
      <c r="B34" t="inlineStr">
        <is>
          <t>Research &amp; Development</t>
        </is>
      </c>
      <c r="C34" t="inlineStr">
        <is>
          <t>Laboratory Technician</t>
        </is>
      </c>
      <c r="D34" t="inlineStr">
        <is>
          <t>Yes</t>
        </is>
      </c>
      <c r="E34" s="8" t="n">
        <v>2935</v>
      </c>
      <c r="F34" s="8">
        <f>E34*Assumptions!$B$7</f>
        <v/>
      </c>
      <c r="G34" s="9" t="n">
        <v>0.4277</v>
      </c>
      <c r="H34" t="inlineStr">
        <is>
          <t>Medium</t>
        </is>
      </c>
      <c r="I34">
        <f>IF(G34&gt;=Assumptions!$B$4,"Yes","No")</f>
        <v/>
      </c>
      <c r="J34" s="8">
        <f>F34*Assumptions!$B$6</f>
        <v/>
      </c>
      <c r="K34" s="10">
        <f>G34*J34</f>
        <v/>
      </c>
      <c r="L34" s="10">
        <f>IF(I34="Yes",G34*Assumptions!$B$5*J34,0)</f>
        <v/>
      </c>
    </row>
    <row r="35">
      <c r="A35" t="n">
        <v>201</v>
      </c>
      <c r="B35" t="inlineStr">
        <is>
          <t>Research &amp; Development</t>
        </is>
      </c>
      <c r="C35" t="inlineStr">
        <is>
          <t>Laboratory Technician</t>
        </is>
      </c>
      <c r="D35" t="inlineStr">
        <is>
          <t>No</t>
        </is>
      </c>
      <c r="E35" s="8" t="n">
        <v>1483</v>
      </c>
      <c r="F35" s="8">
        <f>E35*Assumptions!$B$7</f>
        <v/>
      </c>
      <c r="G35" s="9" t="n">
        <v>0.4213</v>
      </c>
      <c r="H35" t="inlineStr">
        <is>
          <t>Medium</t>
        </is>
      </c>
      <c r="I35">
        <f>IF(G35&gt;=Assumptions!$B$4,"Yes","No")</f>
        <v/>
      </c>
      <c r="J35" s="8">
        <f>F35*Assumptions!$B$6</f>
        <v/>
      </c>
      <c r="K35" s="10">
        <f>G35*J35</f>
        <v/>
      </c>
      <c r="L35" s="10">
        <f>IF(I35="Yes",G35*Assumptions!$B$5*J35,0)</f>
        <v/>
      </c>
    </row>
    <row r="36">
      <c r="A36" t="n">
        <v>1720</v>
      </c>
      <c r="B36" t="inlineStr">
        <is>
          <t>Research &amp; Development</t>
        </is>
      </c>
      <c r="C36" t="inlineStr">
        <is>
          <t>Research Scientist</t>
        </is>
      </c>
      <c r="D36" t="inlineStr">
        <is>
          <t>No</t>
        </is>
      </c>
      <c r="E36" s="8" t="n">
        <v>3433</v>
      </c>
      <c r="F36" s="8">
        <f>E36*Assumptions!$B$7</f>
        <v/>
      </c>
      <c r="G36" s="9" t="n">
        <v>0.4172</v>
      </c>
      <c r="H36" t="inlineStr">
        <is>
          <t>Medium</t>
        </is>
      </c>
      <c r="I36">
        <f>IF(G36&gt;=Assumptions!$B$4,"Yes","No")</f>
        <v/>
      </c>
      <c r="J36" s="8">
        <f>F36*Assumptions!$B$6</f>
        <v/>
      </c>
      <c r="K36" s="10">
        <f>G36*J36</f>
        <v/>
      </c>
      <c r="L36" s="10">
        <f>IF(I36="Yes",G36*Assumptions!$B$5*J36,0)</f>
        <v/>
      </c>
    </row>
    <row r="37">
      <c r="A37" t="n">
        <v>744</v>
      </c>
      <c r="B37" t="inlineStr">
        <is>
          <t>Research &amp; Development</t>
        </is>
      </c>
      <c r="C37" t="inlineStr">
        <is>
          <t>Laboratory Technician</t>
        </is>
      </c>
      <c r="D37" t="inlineStr">
        <is>
          <t>No</t>
        </is>
      </c>
      <c r="E37" s="8" t="n">
        <v>3708</v>
      </c>
      <c r="F37" s="8">
        <f>E37*Assumptions!$B$7</f>
        <v/>
      </c>
      <c r="G37" s="9" t="n">
        <v>0.3983</v>
      </c>
      <c r="H37" t="inlineStr">
        <is>
          <t>Medium</t>
        </is>
      </c>
      <c r="I37">
        <f>IF(G37&gt;=Assumptions!$B$4,"Yes","No")</f>
        <v/>
      </c>
      <c r="J37" s="8">
        <f>F37*Assumptions!$B$6</f>
        <v/>
      </c>
      <c r="K37" s="10">
        <f>G37*J37</f>
        <v/>
      </c>
      <c r="L37" s="10">
        <f>IF(I37="Yes",G37*Assumptions!$B$5*J37,0)</f>
        <v/>
      </c>
    </row>
    <row r="38">
      <c r="A38" t="n">
        <v>1224</v>
      </c>
      <c r="B38" t="inlineStr">
        <is>
          <t>Research &amp; Development</t>
        </is>
      </c>
      <c r="C38" t="inlineStr">
        <is>
          <t>Laboratory Technician</t>
        </is>
      </c>
      <c r="D38" t="inlineStr">
        <is>
          <t>No</t>
        </is>
      </c>
      <c r="E38" s="8" t="n">
        <v>3491</v>
      </c>
      <c r="F38" s="8">
        <f>E38*Assumptions!$B$7</f>
        <v/>
      </c>
      <c r="G38" s="9" t="n">
        <v>0.3825</v>
      </c>
      <c r="H38" t="inlineStr">
        <is>
          <t>Medium</t>
        </is>
      </c>
      <c r="I38">
        <f>IF(G38&gt;=Assumptions!$B$4,"Yes","No")</f>
        <v/>
      </c>
      <c r="J38" s="8">
        <f>F38*Assumptions!$B$6</f>
        <v/>
      </c>
      <c r="K38" s="10">
        <f>G38*J38</f>
        <v/>
      </c>
      <c r="L38" s="10">
        <f>IF(I38="Yes",G38*Assumptions!$B$5*J38,0)</f>
        <v/>
      </c>
    </row>
    <row r="39">
      <c r="A39" t="n">
        <v>1950</v>
      </c>
      <c r="B39" t="inlineStr">
        <is>
          <t>Sales</t>
        </is>
      </c>
      <c r="C39" t="inlineStr">
        <is>
          <t>Sales Executive</t>
        </is>
      </c>
      <c r="D39" t="inlineStr">
        <is>
          <t>No</t>
        </is>
      </c>
      <c r="E39" s="8" t="n">
        <v>9888</v>
      </c>
      <c r="F39" s="8">
        <f>E39*Assumptions!$B$7</f>
        <v/>
      </c>
      <c r="G39" s="9" t="n">
        <v>0.3731</v>
      </c>
      <c r="H39" t="inlineStr">
        <is>
          <t>Medium</t>
        </is>
      </c>
      <c r="I39">
        <f>IF(G39&gt;=Assumptions!$B$4,"Yes","No")</f>
        <v/>
      </c>
      <c r="J39" s="8">
        <f>F39*Assumptions!$B$6</f>
        <v/>
      </c>
      <c r="K39" s="10">
        <f>G39*J39</f>
        <v/>
      </c>
      <c r="L39" s="10">
        <f>IF(I39="Yes",G39*Assumptions!$B$5*J39,0)</f>
        <v/>
      </c>
    </row>
    <row r="40">
      <c r="A40" t="n">
        <v>1735</v>
      </c>
      <c r="B40" t="inlineStr">
        <is>
          <t>Research &amp; Development</t>
        </is>
      </c>
      <c r="C40" t="inlineStr">
        <is>
          <t>Laboratory Technician</t>
        </is>
      </c>
      <c r="D40" t="inlineStr">
        <is>
          <t>No</t>
        </is>
      </c>
      <c r="E40" s="8" t="n">
        <v>3295</v>
      </c>
      <c r="F40" s="8">
        <f>E40*Assumptions!$B$7</f>
        <v/>
      </c>
      <c r="G40" s="9" t="n">
        <v>0.368</v>
      </c>
      <c r="H40" t="inlineStr">
        <is>
          <t>Medium</t>
        </is>
      </c>
      <c r="I40">
        <f>IF(G40&gt;=Assumptions!$B$4,"Yes","No")</f>
        <v/>
      </c>
      <c r="J40" s="8">
        <f>F40*Assumptions!$B$6</f>
        <v/>
      </c>
      <c r="K40" s="10">
        <f>G40*J40</f>
        <v/>
      </c>
      <c r="L40" s="10">
        <f>IF(I40="Yes",G40*Assumptions!$B$5*J40,0)</f>
        <v/>
      </c>
    </row>
    <row r="41">
      <c r="A41" t="n">
        <v>618</v>
      </c>
      <c r="B41" t="inlineStr">
        <is>
          <t>Sales</t>
        </is>
      </c>
      <c r="C41" t="inlineStr">
        <is>
          <t>Sales Executive</t>
        </is>
      </c>
      <c r="D41" t="inlineStr">
        <is>
          <t>No</t>
        </is>
      </c>
      <c r="E41" s="8" t="n">
        <v>4306</v>
      </c>
      <c r="F41" s="8">
        <f>E41*Assumptions!$B$7</f>
        <v/>
      </c>
      <c r="G41" s="9" t="n">
        <v>0.3517</v>
      </c>
      <c r="H41" t="inlineStr">
        <is>
          <t>Medium</t>
        </is>
      </c>
      <c r="I41">
        <f>IF(G41&gt;=Assumptions!$B$4,"Yes","No")</f>
        <v/>
      </c>
      <c r="J41" s="8">
        <f>F41*Assumptions!$B$6</f>
        <v/>
      </c>
      <c r="K41" s="10">
        <f>G41*J41</f>
        <v/>
      </c>
      <c r="L41" s="10">
        <f>IF(I41="Yes",G41*Assumptions!$B$5*J41,0)</f>
        <v/>
      </c>
    </row>
    <row r="42">
      <c r="A42" t="n">
        <v>854</v>
      </c>
      <c r="B42" t="inlineStr">
        <is>
          <t>Research &amp; Development</t>
        </is>
      </c>
      <c r="C42" t="inlineStr">
        <is>
          <t>Research Scientist</t>
        </is>
      </c>
      <c r="D42" t="inlineStr">
        <is>
          <t>No</t>
        </is>
      </c>
      <c r="E42" s="8" t="n">
        <v>3424</v>
      </c>
      <c r="F42" s="8">
        <f>E42*Assumptions!$B$7</f>
        <v/>
      </c>
      <c r="G42" s="9" t="n">
        <v>0.3495</v>
      </c>
      <c r="H42" t="inlineStr">
        <is>
          <t>Medium</t>
        </is>
      </c>
      <c r="I42">
        <f>IF(G42&gt;=Assumptions!$B$4,"Yes","No")</f>
        <v/>
      </c>
      <c r="J42" s="8">
        <f>F42*Assumptions!$B$6</f>
        <v/>
      </c>
      <c r="K42" s="10">
        <f>G42*J42</f>
        <v/>
      </c>
      <c r="L42" s="10">
        <f>IF(I42="Yes",G42*Assumptions!$B$5*J42,0)</f>
        <v/>
      </c>
    </row>
    <row r="43">
      <c r="A43" t="n">
        <v>974</v>
      </c>
      <c r="B43" t="inlineStr">
        <is>
          <t>Sales</t>
        </is>
      </c>
      <c r="C43" t="inlineStr">
        <is>
          <t>Sales Representative</t>
        </is>
      </c>
      <c r="D43" t="inlineStr">
        <is>
          <t>No</t>
        </is>
      </c>
      <c r="E43" s="8" t="n">
        <v>2157</v>
      </c>
      <c r="F43" s="8">
        <f>E43*Assumptions!$B$7</f>
        <v/>
      </c>
      <c r="G43" s="9" t="n">
        <v>0.3457</v>
      </c>
      <c r="H43" t="inlineStr">
        <is>
          <t>Medium</t>
        </is>
      </c>
      <c r="I43">
        <f>IF(G43&gt;=Assumptions!$B$4,"Yes","No")</f>
        <v/>
      </c>
      <c r="J43" s="8">
        <f>F43*Assumptions!$B$6</f>
        <v/>
      </c>
      <c r="K43" s="10">
        <f>G43*J43</f>
        <v/>
      </c>
      <c r="L43" s="10">
        <f>IF(I43="Yes",G43*Assumptions!$B$5*J43,0)</f>
        <v/>
      </c>
    </row>
    <row r="44">
      <c r="A44" t="n">
        <v>1173</v>
      </c>
      <c r="B44" t="inlineStr">
        <is>
          <t>Research &amp; Development</t>
        </is>
      </c>
      <c r="C44" t="inlineStr">
        <is>
          <t>Laboratory Technician</t>
        </is>
      </c>
      <c r="D44" t="inlineStr">
        <is>
          <t>No</t>
        </is>
      </c>
      <c r="E44" s="8" t="n">
        <v>3597</v>
      </c>
      <c r="F44" s="8">
        <f>E44*Assumptions!$B$7</f>
        <v/>
      </c>
      <c r="G44" s="9" t="n">
        <v>0.3414</v>
      </c>
      <c r="H44" t="inlineStr">
        <is>
          <t>Medium</t>
        </is>
      </c>
      <c r="I44">
        <f>IF(G44&gt;=Assumptions!$B$4,"Yes","No")</f>
        <v/>
      </c>
      <c r="J44" s="8">
        <f>F44*Assumptions!$B$6</f>
        <v/>
      </c>
      <c r="K44" s="10">
        <f>G44*J44</f>
        <v/>
      </c>
      <c r="L44" s="10">
        <f>IF(I44="Yes",G44*Assumptions!$B$5*J44,0)</f>
        <v/>
      </c>
    </row>
    <row r="45">
      <c r="A45" t="n">
        <v>1613</v>
      </c>
      <c r="B45" t="inlineStr">
        <is>
          <t>Sales</t>
        </is>
      </c>
      <c r="C45" t="inlineStr">
        <is>
          <t>Sales Executive</t>
        </is>
      </c>
      <c r="D45" t="inlineStr">
        <is>
          <t>No</t>
        </is>
      </c>
      <c r="E45" s="8" t="n">
        <v>5332</v>
      </c>
      <c r="F45" s="8">
        <f>E45*Assumptions!$B$7</f>
        <v/>
      </c>
      <c r="G45" s="9" t="n">
        <v>0.3411</v>
      </c>
      <c r="H45" t="inlineStr">
        <is>
          <t>Medium</t>
        </is>
      </c>
      <c r="I45">
        <f>IF(G45&gt;=Assumptions!$B$4,"Yes","No")</f>
        <v/>
      </c>
      <c r="J45" s="8">
        <f>F45*Assumptions!$B$6</f>
        <v/>
      </c>
      <c r="K45" s="10">
        <f>G45*J45</f>
        <v/>
      </c>
      <c r="L45" s="10">
        <f>IF(I45="Yes",G45*Assumptions!$B$5*J45,0)</f>
        <v/>
      </c>
    </row>
    <row r="46">
      <c r="A46" t="n">
        <v>1193</v>
      </c>
      <c r="B46" t="inlineStr">
        <is>
          <t>Research &amp; Development</t>
        </is>
      </c>
      <c r="C46" t="inlineStr">
        <is>
          <t>Research Scientist</t>
        </is>
      </c>
      <c r="D46" t="inlineStr">
        <is>
          <t>No</t>
        </is>
      </c>
      <c r="E46" s="8" t="n">
        <v>2552</v>
      </c>
      <c r="F46" s="8">
        <f>E46*Assumptions!$B$7</f>
        <v/>
      </c>
      <c r="G46" s="9" t="n">
        <v>0.3351</v>
      </c>
      <c r="H46" t="inlineStr">
        <is>
          <t>Medium</t>
        </is>
      </c>
      <c r="I46">
        <f>IF(G46&gt;=Assumptions!$B$4,"Yes","No")</f>
        <v/>
      </c>
      <c r="J46" s="8">
        <f>F46*Assumptions!$B$6</f>
        <v/>
      </c>
      <c r="K46" s="10">
        <f>G46*J46</f>
        <v/>
      </c>
      <c r="L46" s="10">
        <f>IF(I46="Yes",G46*Assumptions!$B$5*J46,0)</f>
        <v/>
      </c>
    </row>
    <row r="47">
      <c r="A47" t="n">
        <v>846</v>
      </c>
      <c r="B47" t="inlineStr">
        <is>
          <t>Sales</t>
        </is>
      </c>
      <c r="C47" t="inlineStr">
        <is>
          <t>Sales Executive</t>
        </is>
      </c>
      <c r="D47" t="inlineStr">
        <is>
          <t>Yes</t>
        </is>
      </c>
      <c r="E47" s="8" t="n">
        <v>4779</v>
      </c>
      <c r="F47" s="8">
        <f>E47*Assumptions!$B$7</f>
        <v/>
      </c>
      <c r="G47" s="9" t="n">
        <v>0.3339</v>
      </c>
      <c r="H47" t="inlineStr">
        <is>
          <t>Medium</t>
        </is>
      </c>
      <c r="I47">
        <f>IF(G47&gt;=Assumptions!$B$4,"Yes","No")</f>
        <v/>
      </c>
      <c r="J47" s="8">
        <f>F47*Assumptions!$B$6</f>
        <v/>
      </c>
      <c r="K47" s="10">
        <f>G47*J47</f>
        <v/>
      </c>
      <c r="L47" s="10">
        <f>IF(I47="Yes",G47*Assumptions!$B$5*J47,0)</f>
        <v/>
      </c>
    </row>
    <row r="48">
      <c r="A48" t="n">
        <v>885</v>
      </c>
      <c r="B48" t="inlineStr">
        <is>
          <t>Sales</t>
        </is>
      </c>
      <c r="C48" t="inlineStr">
        <is>
          <t>Sales Executive</t>
        </is>
      </c>
      <c r="D48" t="inlineStr">
        <is>
          <t>No</t>
        </is>
      </c>
      <c r="E48" s="8" t="n">
        <v>4256</v>
      </c>
      <c r="F48" s="8">
        <f>E48*Assumptions!$B$7</f>
        <v/>
      </c>
      <c r="G48" s="9" t="n">
        <v>0.3319</v>
      </c>
      <c r="H48" t="inlineStr">
        <is>
          <t>Medium</t>
        </is>
      </c>
      <c r="I48">
        <f>IF(G48&gt;=Assumptions!$B$4,"Yes","No")</f>
        <v/>
      </c>
      <c r="J48" s="8">
        <f>F48*Assumptions!$B$6</f>
        <v/>
      </c>
      <c r="K48" s="10">
        <f>G48*J48</f>
        <v/>
      </c>
      <c r="L48" s="10">
        <f>IF(I48="Yes",G48*Assumptions!$B$5*J48,0)</f>
        <v/>
      </c>
    </row>
    <row r="49">
      <c r="A49" t="n">
        <v>1753</v>
      </c>
      <c r="B49" t="inlineStr">
        <is>
          <t>Research &amp; Development</t>
        </is>
      </c>
      <c r="C49" t="inlineStr">
        <is>
          <t>Healthcare Representative</t>
        </is>
      </c>
      <c r="D49" t="inlineStr">
        <is>
          <t>Yes</t>
        </is>
      </c>
      <c r="E49" s="8" t="n">
        <v>6294</v>
      </c>
      <c r="F49" s="8">
        <f>E49*Assumptions!$B$7</f>
        <v/>
      </c>
      <c r="G49" s="9" t="n">
        <v>0.3226</v>
      </c>
      <c r="H49" t="inlineStr">
        <is>
          <t>Medium</t>
        </is>
      </c>
      <c r="I49">
        <f>IF(G49&gt;=Assumptions!$B$4,"Yes","No")</f>
        <v/>
      </c>
      <c r="J49" s="8">
        <f>F49*Assumptions!$B$6</f>
        <v/>
      </c>
      <c r="K49" s="10">
        <f>G49*J49</f>
        <v/>
      </c>
      <c r="L49" s="10">
        <f>IF(I49="Yes",G49*Assumptions!$B$5*J49,0)</f>
        <v/>
      </c>
    </row>
    <row r="50">
      <c r="A50" t="n">
        <v>1650</v>
      </c>
      <c r="B50" t="inlineStr">
        <is>
          <t>Sales</t>
        </is>
      </c>
      <c r="C50" t="inlineStr">
        <is>
          <t>Sales Executive</t>
        </is>
      </c>
      <c r="D50" t="inlineStr">
        <is>
          <t>No</t>
        </is>
      </c>
      <c r="E50" s="8" t="n">
        <v>5869</v>
      </c>
      <c r="F50" s="8">
        <f>E50*Assumptions!$B$7</f>
        <v/>
      </c>
      <c r="G50" s="9" t="n">
        <v>0.3102</v>
      </c>
      <c r="H50" t="inlineStr">
        <is>
          <t>Medium</t>
        </is>
      </c>
      <c r="I50">
        <f>IF(G50&gt;=Assumptions!$B$4,"Yes","No")</f>
        <v/>
      </c>
      <c r="J50" s="8">
        <f>F50*Assumptions!$B$6</f>
        <v/>
      </c>
      <c r="K50" s="10">
        <f>G50*J50</f>
        <v/>
      </c>
      <c r="L50" s="10">
        <f>IF(I50="Yes",G50*Assumptions!$B$5*J50,0)</f>
        <v/>
      </c>
    </row>
    <row r="51">
      <c r="A51" t="n">
        <v>2010</v>
      </c>
      <c r="B51" t="inlineStr">
        <is>
          <t>Research &amp; Development</t>
        </is>
      </c>
      <c r="C51" t="inlineStr">
        <is>
          <t>Laboratory Technician</t>
        </is>
      </c>
      <c r="D51" t="inlineStr">
        <is>
          <t>No</t>
        </is>
      </c>
      <c r="E51" s="8" t="n">
        <v>2837</v>
      </c>
      <c r="F51" s="8">
        <f>E51*Assumptions!$B$7</f>
        <v/>
      </c>
      <c r="G51" s="9" t="n">
        <v>0.3074</v>
      </c>
      <c r="H51" t="inlineStr">
        <is>
          <t>Medium</t>
        </is>
      </c>
      <c r="I51">
        <f>IF(G51&gt;=Assumptions!$B$4,"Yes","No")</f>
        <v/>
      </c>
      <c r="J51" s="8">
        <f>F51*Assumptions!$B$6</f>
        <v/>
      </c>
      <c r="K51" s="10">
        <f>G51*J51</f>
        <v/>
      </c>
      <c r="L51" s="10">
        <f>IF(I51="Yes",G51*Assumptions!$B$5*J51,0)</f>
        <v/>
      </c>
    </row>
    <row r="52">
      <c r="A52" t="n">
        <v>1070</v>
      </c>
      <c r="B52" t="inlineStr">
        <is>
          <t>Sales</t>
        </is>
      </c>
      <c r="C52" t="inlineStr">
        <is>
          <t>Sales Executive</t>
        </is>
      </c>
      <c r="D52" t="inlineStr">
        <is>
          <t>No</t>
        </is>
      </c>
      <c r="E52" s="8" t="n">
        <v>10686</v>
      </c>
      <c r="F52" s="8">
        <f>E52*Assumptions!$B$7</f>
        <v/>
      </c>
      <c r="G52" s="9" t="n">
        <v>0.3049</v>
      </c>
      <c r="H52" t="inlineStr">
        <is>
          <t>Medium</t>
        </is>
      </c>
      <c r="I52">
        <f>IF(G52&gt;=Assumptions!$B$4,"Yes","No")</f>
        <v/>
      </c>
      <c r="J52" s="8">
        <f>F52*Assumptions!$B$6</f>
        <v/>
      </c>
      <c r="K52" s="10">
        <f>G52*J52</f>
        <v/>
      </c>
      <c r="L52" s="10">
        <f>IF(I52="Yes",G52*Assumptions!$B$5*J52,0)</f>
        <v/>
      </c>
    </row>
    <row r="53">
      <c r="A53" t="n">
        <v>1680</v>
      </c>
      <c r="B53" t="inlineStr">
        <is>
          <t>Sales</t>
        </is>
      </c>
      <c r="C53" t="inlineStr">
        <is>
          <t>Sales Representative</t>
        </is>
      </c>
      <c r="D53" t="inlineStr">
        <is>
          <t>No</t>
        </is>
      </c>
      <c r="E53" s="8" t="n">
        <v>2728</v>
      </c>
      <c r="F53" s="8">
        <f>E53*Assumptions!$B$7</f>
        <v/>
      </c>
      <c r="G53" s="9" t="n">
        <v>0.301</v>
      </c>
      <c r="H53" t="inlineStr">
        <is>
          <t>Medium</t>
        </is>
      </c>
      <c r="I53">
        <f>IF(G53&gt;=Assumptions!$B$4,"Yes","No")</f>
        <v/>
      </c>
      <c r="J53" s="8">
        <f>F53*Assumptions!$B$6</f>
        <v/>
      </c>
      <c r="K53" s="10">
        <f>G53*J53</f>
        <v/>
      </c>
      <c r="L53" s="10">
        <f>IF(I53="Yes",G53*Assumptions!$B$5*J53,0)</f>
        <v/>
      </c>
    </row>
    <row r="54">
      <c r="A54" t="n">
        <v>1226</v>
      </c>
      <c r="B54" t="inlineStr">
        <is>
          <t>Sales</t>
        </is>
      </c>
      <c r="C54" t="inlineStr">
        <is>
          <t>Sales Representative</t>
        </is>
      </c>
      <c r="D54" t="inlineStr">
        <is>
          <t>No</t>
        </is>
      </c>
      <c r="E54" s="8" t="n">
        <v>2678</v>
      </c>
      <c r="F54" s="8">
        <f>E54*Assumptions!$B$7</f>
        <v/>
      </c>
      <c r="G54" s="9" t="n">
        <v>0.3008</v>
      </c>
      <c r="H54" t="inlineStr">
        <is>
          <t>Medium</t>
        </is>
      </c>
      <c r="I54">
        <f>IF(G54&gt;=Assumptions!$B$4,"Yes","No")</f>
        <v/>
      </c>
      <c r="J54" s="8">
        <f>F54*Assumptions!$B$6</f>
        <v/>
      </c>
      <c r="K54" s="10">
        <f>G54*J54</f>
        <v/>
      </c>
      <c r="L54" s="10">
        <f>IF(I54="Yes",G54*Assumptions!$B$5*J54,0)</f>
        <v/>
      </c>
    </row>
    <row r="55">
      <c r="A55" t="n">
        <v>62</v>
      </c>
      <c r="B55" t="inlineStr">
        <is>
          <t>Sales</t>
        </is>
      </c>
      <c r="C55" t="inlineStr">
        <is>
          <t>Sales Executive</t>
        </is>
      </c>
      <c r="D55" t="inlineStr">
        <is>
          <t>Yes</t>
        </is>
      </c>
      <c r="E55" s="8" t="n">
        <v>5772</v>
      </c>
      <c r="F55" s="8">
        <f>E55*Assumptions!$B$7</f>
        <v/>
      </c>
      <c r="G55" s="9" t="n">
        <v>0.2963</v>
      </c>
      <c r="H55" t="inlineStr">
        <is>
          <t>Medium</t>
        </is>
      </c>
      <c r="I55">
        <f>IF(G55&gt;=Assumptions!$B$4,"Yes","No")</f>
        <v/>
      </c>
      <c r="J55" s="8">
        <f>F55*Assumptions!$B$6</f>
        <v/>
      </c>
      <c r="K55" s="10">
        <f>G55*J55</f>
        <v/>
      </c>
      <c r="L55" s="10">
        <f>IF(I55="Yes",G55*Assumptions!$B$5*J55,0)</f>
        <v/>
      </c>
    </row>
    <row r="56">
      <c r="A56" t="n">
        <v>1756</v>
      </c>
      <c r="B56" t="inlineStr">
        <is>
          <t>Sales</t>
        </is>
      </c>
      <c r="C56" t="inlineStr">
        <is>
          <t>Sales Executive</t>
        </is>
      </c>
      <c r="D56" t="inlineStr">
        <is>
          <t>No</t>
        </is>
      </c>
      <c r="E56" s="8" t="n">
        <v>5147</v>
      </c>
      <c r="F56" s="8">
        <f>E56*Assumptions!$B$7</f>
        <v/>
      </c>
      <c r="G56" s="9" t="n">
        <v>0.2952</v>
      </c>
      <c r="H56" t="inlineStr">
        <is>
          <t>Medium</t>
        </is>
      </c>
      <c r="I56">
        <f>IF(G56&gt;=Assumptions!$B$4,"Yes","No")</f>
        <v/>
      </c>
      <c r="J56" s="8">
        <f>F56*Assumptions!$B$6</f>
        <v/>
      </c>
      <c r="K56" s="10">
        <f>G56*J56</f>
        <v/>
      </c>
      <c r="L56" s="10">
        <f>IF(I56="Yes",G56*Assumptions!$B$5*J56,0)</f>
        <v/>
      </c>
    </row>
    <row r="57">
      <c r="A57" t="n">
        <v>1286</v>
      </c>
      <c r="B57" t="inlineStr">
        <is>
          <t>Research &amp; Development</t>
        </is>
      </c>
      <c r="C57" t="inlineStr">
        <is>
          <t>Laboratory Technician</t>
        </is>
      </c>
      <c r="D57" t="inlineStr">
        <is>
          <t>Yes</t>
        </is>
      </c>
      <c r="E57" s="8" t="n">
        <v>2154</v>
      </c>
      <c r="F57" s="8">
        <f>E57*Assumptions!$B$7</f>
        <v/>
      </c>
      <c r="G57" s="9" t="n">
        <v>0.2915</v>
      </c>
      <c r="H57" t="inlineStr">
        <is>
          <t>Medium</t>
        </is>
      </c>
      <c r="I57">
        <f>IF(G57&gt;=Assumptions!$B$4,"Yes","No")</f>
        <v/>
      </c>
      <c r="J57" s="8">
        <f>F57*Assumptions!$B$6</f>
        <v/>
      </c>
      <c r="K57" s="10">
        <f>G57*J57</f>
        <v/>
      </c>
      <c r="L57" s="10">
        <f>IF(I57="Yes",G57*Assumptions!$B$5*J57,0)</f>
        <v/>
      </c>
    </row>
    <row r="58">
      <c r="A58" t="n">
        <v>75</v>
      </c>
      <c r="B58" t="inlineStr">
        <is>
          <t>Research &amp; Development</t>
        </is>
      </c>
      <c r="C58" t="inlineStr">
        <is>
          <t>Laboratory Technician</t>
        </is>
      </c>
      <c r="D58" t="inlineStr">
        <is>
          <t>Yes</t>
        </is>
      </c>
      <c r="E58" s="8" t="n">
        <v>4014</v>
      </c>
      <c r="F58" s="8">
        <f>E58*Assumptions!$B$7</f>
        <v/>
      </c>
      <c r="G58" s="9" t="n">
        <v>0.289</v>
      </c>
      <c r="H58" t="inlineStr">
        <is>
          <t>Medium</t>
        </is>
      </c>
      <c r="I58">
        <f>IF(G58&gt;=Assumptions!$B$4,"Yes","No")</f>
        <v/>
      </c>
      <c r="J58" s="8">
        <f>F58*Assumptions!$B$6</f>
        <v/>
      </c>
      <c r="K58" s="10">
        <f>G58*J58</f>
        <v/>
      </c>
      <c r="L58" s="10">
        <f>IF(I58="Yes",G58*Assumptions!$B$5*J58,0)</f>
        <v/>
      </c>
    </row>
    <row r="59">
      <c r="A59" t="n">
        <v>72</v>
      </c>
      <c r="B59" t="inlineStr">
        <is>
          <t>Sales</t>
        </is>
      </c>
      <c r="C59" t="inlineStr">
        <is>
          <t>Sales Executive</t>
        </is>
      </c>
      <c r="D59" t="inlineStr">
        <is>
          <t>Yes</t>
        </is>
      </c>
      <c r="E59" s="8" t="n">
        <v>4157</v>
      </c>
      <c r="F59" s="8">
        <f>E59*Assumptions!$B$7</f>
        <v/>
      </c>
      <c r="G59" s="9" t="n">
        <v>0.2889</v>
      </c>
      <c r="H59" t="inlineStr">
        <is>
          <t>Medium</t>
        </is>
      </c>
      <c r="I59">
        <f>IF(G59&gt;=Assumptions!$B$4,"Yes","No")</f>
        <v/>
      </c>
      <c r="J59" s="8">
        <f>F59*Assumptions!$B$6</f>
        <v/>
      </c>
      <c r="K59" s="10">
        <f>G59*J59</f>
        <v/>
      </c>
      <c r="L59" s="10">
        <f>IF(I59="Yes",G59*Assumptions!$B$5*J59,0)</f>
        <v/>
      </c>
    </row>
    <row r="60">
      <c r="A60" t="n">
        <v>7</v>
      </c>
      <c r="B60" t="inlineStr">
        <is>
          <t>Research &amp; Development</t>
        </is>
      </c>
      <c r="C60" t="inlineStr">
        <is>
          <t>Laboratory Technician</t>
        </is>
      </c>
      <c r="D60" t="inlineStr">
        <is>
          <t>No</t>
        </is>
      </c>
      <c r="E60" s="8" t="n">
        <v>3468</v>
      </c>
      <c r="F60" s="8">
        <f>E60*Assumptions!$B$7</f>
        <v/>
      </c>
      <c r="G60" s="9" t="n">
        <v>0.2871</v>
      </c>
      <c r="H60" t="inlineStr">
        <is>
          <t>Medium</t>
        </is>
      </c>
      <c r="I60">
        <f>IF(G60&gt;=Assumptions!$B$4,"Yes","No")</f>
        <v/>
      </c>
      <c r="J60" s="8">
        <f>F60*Assumptions!$B$6</f>
        <v/>
      </c>
      <c r="K60" s="10">
        <f>G60*J60</f>
        <v/>
      </c>
      <c r="L60" s="10">
        <f>IF(I60="Yes",G60*Assumptions!$B$5*J60,0)</f>
        <v/>
      </c>
    </row>
    <row r="61">
      <c r="A61" t="n">
        <v>1396</v>
      </c>
      <c r="B61" t="inlineStr">
        <is>
          <t>Sales</t>
        </is>
      </c>
      <c r="C61" t="inlineStr">
        <is>
          <t>Sales Executive</t>
        </is>
      </c>
      <c r="D61" t="inlineStr">
        <is>
          <t>Yes</t>
        </is>
      </c>
      <c r="E61" s="8" t="n">
        <v>4078</v>
      </c>
      <c r="F61" s="8">
        <f>E61*Assumptions!$B$7</f>
        <v/>
      </c>
      <c r="G61" s="9" t="n">
        <v>0.2857</v>
      </c>
      <c r="H61" t="inlineStr">
        <is>
          <t>Medium</t>
        </is>
      </c>
      <c r="I61">
        <f>IF(G61&gt;=Assumptions!$B$4,"Yes","No")</f>
        <v/>
      </c>
      <c r="J61" s="8">
        <f>F61*Assumptions!$B$6</f>
        <v/>
      </c>
      <c r="K61" s="10">
        <f>G61*J61</f>
        <v/>
      </c>
      <c r="L61" s="10">
        <f>IF(I61="Yes",G61*Assumptions!$B$5*J61,0)</f>
        <v/>
      </c>
    </row>
    <row r="62">
      <c r="A62" t="n">
        <v>1496</v>
      </c>
      <c r="B62" t="inlineStr">
        <is>
          <t>Research &amp; Development</t>
        </is>
      </c>
      <c r="C62" t="inlineStr">
        <is>
          <t>Manufacturing Director</t>
        </is>
      </c>
      <c r="D62" t="inlineStr">
        <is>
          <t>Yes</t>
        </is>
      </c>
      <c r="E62" s="8" t="n">
        <v>10209</v>
      </c>
      <c r="F62" s="8">
        <f>E62*Assumptions!$B$7</f>
        <v/>
      </c>
      <c r="G62" s="9" t="n">
        <v>0.285</v>
      </c>
      <c r="H62" t="inlineStr">
        <is>
          <t>Medium</t>
        </is>
      </c>
      <c r="I62">
        <f>IF(G62&gt;=Assumptions!$B$4,"Yes","No")</f>
        <v/>
      </c>
      <c r="J62" s="8">
        <f>F62*Assumptions!$B$6</f>
        <v/>
      </c>
      <c r="K62" s="10">
        <f>G62*J62</f>
        <v/>
      </c>
      <c r="L62" s="10">
        <f>IF(I62="Yes",G62*Assumptions!$B$5*J62,0)</f>
        <v/>
      </c>
    </row>
    <row r="63">
      <c r="A63" t="n">
        <v>1908</v>
      </c>
      <c r="B63" t="inlineStr">
        <is>
          <t>Sales</t>
        </is>
      </c>
      <c r="C63" t="inlineStr">
        <is>
          <t>Sales Executive</t>
        </is>
      </c>
      <c r="D63" t="inlineStr">
        <is>
          <t>No</t>
        </is>
      </c>
      <c r="E63" s="8" t="n">
        <v>5507</v>
      </c>
      <c r="F63" s="8">
        <f>E63*Assumptions!$B$7</f>
        <v/>
      </c>
      <c r="G63" s="9" t="n">
        <v>0.2831</v>
      </c>
      <c r="H63" t="inlineStr">
        <is>
          <t>Medium</t>
        </is>
      </c>
      <c r="I63">
        <f>IF(G63&gt;=Assumptions!$B$4,"Yes","No")</f>
        <v/>
      </c>
      <c r="J63" s="8">
        <f>F63*Assumptions!$B$6</f>
        <v/>
      </c>
      <c r="K63" s="10">
        <f>G63*J63</f>
        <v/>
      </c>
      <c r="L63" s="10">
        <f>IF(I63="Yes",G63*Assumptions!$B$5*J63,0)</f>
        <v/>
      </c>
    </row>
    <row r="64">
      <c r="A64" t="n">
        <v>1258</v>
      </c>
      <c r="B64" t="inlineStr">
        <is>
          <t>Research &amp; Development</t>
        </is>
      </c>
      <c r="C64" t="inlineStr">
        <is>
          <t>Laboratory Technician</t>
        </is>
      </c>
      <c r="D64" t="inlineStr">
        <is>
          <t>No</t>
        </is>
      </c>
      <c r="E64" s="8" t="n">
        <v>2559</v>
      </c>
      <c r="F64" s="8">
        <f>E64*Assumptions!$B$7</f>
        <v/>
      </c>
      <c r="G64" s="9" t="n">
        <v>0.2794</v>
      </c>
      <c r="H64" t="inlineStr">
        <is>
          <t>Medium</t>
        </is>
      </c>
      <c r="I64">
        <f>IF(G64&gt;=Assumptions!$B$4,"Yes","No")</f>
        <v/>
      </c>
      <c r="J64" s="8">
        <f>F64*Assumptions!$B$6</f>
        <v/>
      </c>
      <c r="K64" s="10">
        <f>G64*J64</f>
        <v/>
      </c>
      <c r="L64" s="10">
        <f>IF(I64="Yes",G64*Assumptions!$B$5*J64,0)</f>
        <v/>
      </c>
    </row>
    <row r="65">
      <c r="A65" t="n">
        <v>2053</v>
      </c>
      <c r="B65" t="inlineStr">
        <is>
          <t>Research &amp; Development</t>
        </is>
      </c>
      <c r="C65" t="inlineStr">
        <is>
          <t>Laboratory Technician</t>
        </is>
      </c>
      <c r="D65" t="inlineStr">
        <is>
          <t>Yes</t>
        </is>
      </c>
      <c r="E65" s="8" t="n">
        <v>4025</v>
      </c>
      <c r="F65" s="8">
        <f>E65*Assumptions!$B$7</f>
        <v/>
      </c>
      <c r="G65" s="9" t="n">
        <v>0.2759</v>
      </c>
      <c r="H65" t="inlineStr">
        <is>
          <t>Medium</t>
        </is>
      </c>
      <c r="I65">
        <f>IF(G65&gt;=Assumptions!$B$4,"Yes","No")</f>
        <v/>
      </c>
      <c r="J65" s="8">
        <f>F65*Assumptions!$B$6</f>
        <v/>
      </c>
      <c r="K65" s="10">
        <f>G65*J65</f>
        <v/>
      </c>
      <c r="L65" s="10">
        <f>IF(I65="Yes",G65*Assumptions!$B$5*J65,0)</f>
        <v/>
      </c>
    </row>
    <row r="66">
      <c r="A66" t="n">
        <v>1131</v>
      </c>
      <c r="B66" t="inlineStr">
        <is>
          <t>Research &amp; Development</t>
        </is>
      </c>
      <c r="C66" t="inlineStr">
        <is>
          <t>Research Scientist</t>
        </is>
      </c>
      <c r="D66" t="inlineStr">
        <is>
          <t>Yes</t>
        </is>
      </c>
      <c r="E66" s="8" t="n">
        <v>2070</v>
      </c>
      <c r="F66" s="8">
        <f>E66*Assumptions!$B$7</f>
        <v/>
      </c>
      <c r="G66" s="9" t="n">
        <v>0.2719</v>
      </c>
      <c r="H66" t="inlineStr">
        <is>
          <t>Medium</t>
        </is>
      </c>
      <c r="I66">
        <f>IF(G66&gt;=Assumptions!$B$4,"Yes","No")</f>
        <v/>
      </c>
      <c r="J66" s="8">
        <f>F66*Assumptions!$B$6</f>
        <v/>
      </c>
      <c r="K66" s="10">
        <f>G66*J66</f>
        <v/>
      </c>
      <c r="L66" s="10">
        <f>IF(I66="Yes",G66*Assumptions!$B$5*J66,0)</f>
        <v/>
      </c>
    </row>
    <row r="67">
      <c r="A67" t="n">
        <v>436</v>
      </c>
      <c r="B67" t="inlineStr">
        <is>
          <t>Sales</t>
        </is>
      </c>
      <c r="C67" t="inlineStr">
        <is>
          <t>Sales Executive</t>
        </is>
      </c>
      <c r="D67" t="inlineStr">
        <is>
          <t>Yes</t>
        </is>
      </c>
      <c r="E67" s="8" t="n">
        <v>5228</v>
      </c>
      <c r="F67" s="8">
        <f>E67*Assumptions!$B$7</f>
        <v/>
      </c>
      <c r="G67" s="9" t="n">
        <v>0.2708</v>
      </c>
      <c r="H67" t="inlineStr">
        <is>
          <t>Medium</t>
        </is>
      </c>
      <c r="I67">
        <f>IF(G67&gt;=Assumptions!$B$4,"Yes","No")</f>
        <v/>
      </c>
      <c r="J67" s="8">
        <f>F67*Assumptions!$B$6</f>
        <v/>
      </c>
      <c r="K67" s="10">
        <f>G67*J67</f>
        <v/>
      </c>
      <c r="L67" s="10">
        <f>IF(I67="Yes",G67*Assumptions!$B$5*J67,0)</f>
        <v/>
      </c>
    </row>
    <row r="68">
      <c r="A68" t="n">
        <v>1641</v>
      </c>
      <c r="B68" t="inlineStr">
        <is>
          <t>Research &amp; Development</t>
        </is>
      </c>
      <c r="C68" t="inlineStr">
        <is>
          <t>Manufacturing Director</t>
        </is>
      </c>
      <c r="D68" t="inlineStr">
        <is>
          <t>Yes</t>
        </is>
      </c>
      <c r="E68" s="8" t="n">
        <v>7945</v>
      </c>
      <c r="F68" s="8">
        <f>E68*Assumptions!$B$7</f>
        <v/>
      </c>
      <c r="G68" s="9" t="n">
        <v>0.2699</v>
      </c>
      <c r="H68" t="inlineStr">
        <is>
          <t>Medium</t>
        </is>
      </c>
      <c r="I68">
        <f>IF(G68&gt;=Assumptions!$B$4,"Yes","No")</f>
        <v/>
      </c>
      <c r="J68" s="8">
        <f>F68*Assumptions!$B$6</f>
        <v/>
      </c>
      <c r="K68" s="10">
        <f>G68*J68</f>
        <v/>
      </c>
      <c r="L68" s="10">
        <f>IF(I68="Yes",G68*Assumptions!$B$5*J68,0)</f>
        <v/>
      </c>
    </row>
    <row r="69">
      <c r="A69" t="n">
        <v>1647</v>
      </c>
      <c r="B69" t="inlineStr">
        <is>
          <t>Research &amp; Development</t>
        </is>
      </c>
      <c r="C69" t="inlineStr">
        <is>
          <t>Research Scientist</t>
        </is>
      </c>
      <c r="D69" t="inlineStr">
        <is>
          <t>No</t>
        </is>
      </c>
      <c r="E69" s="8" t="n">
        <v>3517</v>
      </c>
      <c r="F69" s="8">
        <f>E69*Assumptions!$B$7</f>
        <v/>
      </c>
      <c r="G69" s="9" t="n">
        <v>0.2693</v>
      </c>
      <c r="H69" t="inlineStr">
        <is>
          <t>Medium</t>
        </is>
      </c>
      <c r="I69">
        <f>IF(G69&gt;=Assumptions!$B$4,"Yes","No")</f>
        <v/>
      </c>
      <c r="J69" s="8">
        <f>F69*Assumptions!$B$6</f>
        <v/>
      </c>
      <c r="K69" s="10">
        <f>G69*J69</f>
        <v/>
      </c>
      <c r="L69" s="10">
        <f>IF(I69="Yes",G69*Assumptions!$B$5*J69,0)</f>
        <v/>
      </c>
    </row>
    <row r="70">
      <c r="A70" t="n">
        <v>1409</v>
      </c>
      <c r="B70" t="inlineStr">
        <is>
          <t>Research &amp; Development</t>
        </is>
      </c>
      <c r="C70" t="inlineStr">
        <is>
          <t>Laboratory Technician</t>
        </is>
      </c>
      <c r="D70" t="inlineStr">
        <is>
          <t>No</t>
        </is>
      </c>
      <c r="E70" s="8" t="n">
        <v>2950</v>
      </c>
      <c r="F70" s="8">
        <f>E70*Assumptions!$B$7</f>
        <v/>
      </c>
      <c r="G70" s="9" t="n">
        <v>0.2662</v>
      </c>
      <c r="H70" t="inlineStr">
        <is>
          <t>Medium</t>
        </is>
      </c>
      <c r="I70">
        <f>IF(G70&gt;=Assumptions!$B$4,"Yes","No")</f>
        <v/>
      </c>
      <c r="J70" s="8">
        <f>F70*Assumptions!$B$6</f>
        <v/>
      </c>
      <c r="K70" s="10">
        <f>G70*J70</f>
        <v/>
      </c>
      <c r="L70" s="10">
        <f>IF(I70="Yes",G70*Assumptions!$B$5*J70,0)</f>
        <v/>
      </c>
    </row>
    <row r="71">
      <c r="A71" t="n">
        <v>1992</v>
      </c>
      <c r="B71" t="inlineStr">
        <is>
          <t>Research &amp; Development</t>
        </is>
      </c>
      <c r="C71" t="inlineStr">
        <is>
          <t>Laboratory Technician</t>
        </is>
      </c>
      <c r="D71" t="inlineStr">
        <is>
          <t>Yes</t>
        </is>
      </c>
      <c r="E71" s="8" t="n">
        <v>3977</v>
      </c>
      <c r="F71" s="8">
        <f>E71*Assumptions!$B$7</f>
        <v/>
      </c>
      <c r="G71" s="9" t="n">
        <v>0.2625</v>
      </c>
      <c r="H71" t="inlineStr">
        <is>
          <t>Medium</t>
        </is>
      </c>
      <c r="I71">
        <f>IF(G71&gt;=Assumptions!$B$4,"Yes","No")</f>
        <v/>
      </c>
      <c r="J71" s="8">
        <f>F71*Assumptions!$B$6</f>
        <v/>
      </c>
      <c r="K71" s="10">
        <f>G71*J71</f>
        <v/>
      </c>
      <c r="L71" s="10">
        <f>IF(I71="Yes",G71*Assumptions!$B$5*J71,0)</f>
        <v/>
      </c>
    </row>
    <row r="72">
      <c r="A72" t="n">
        <v>1329</v>
      </c>
      <c r="B72" t="inlineStr">
        <is>
          <t>Sales</t>
        </is>
      </c>
      <c r="C72" t="inlineStr">
        <is>
          <t>Sales Executive</t>
        </is>
      </c>
      <c r="D72" t="inlineStr">
        <is>
          <t>No</t>
        </is>
      </c>
      <c r="E72" s="8" t="n">
        <v>6151</v>
      </c>
      <c r="F72" s="8">
        <f>E72*Assumptions!$B$7</f>
        <v/>
      </c>
      <c r="G72" s="9" t="n">
        <v>0.2555</v>
      </c>
      <c r="H72" t="inlineStr">
        <is>
          <t>Medium</t>
        </is>
      </c>
      <c r="I72">
        <f>IF(G72&gt;=Assumptions!$B$4,"Yes","No")</f>
        <v/>
      </c>
      <c r="J72" s="8">
        <f>F72*Assumptions!$B$6</f>
        <v/>
      </c>
      <c r="K72" s="10">
        <f>G72*J72</f>
        <v/>
      </c>
      <c r="L72" s="10">
        <f>IF(I72="Yes",G72*Assumptions!$B$5*J72,0)</f>
        <v/>
      </c>
    </row>
    <row r="73">
      <c r="A73" t="n">
        <v>1515</v>
      </c>
      <c r="B73" t="inlineStr">
        <is>
          <t>Research &amp; Development</t>
        </is>
      </c>
      <c r="C73" t="inlineStr">
        <is>
          <t>Healthcare Representative</t>
        </is>
      </c>
      <c r="D73" t="inlineStr">
        <is>
          <t>Yes</t>
        </is>
      </c>
      <c r="E73" s="8" t="n">
        <v>6388</v>
      </c>
      <c r="F73" s="8">
        <f>E73*Assumptions!$B$7</f>
        <v/>
      </c>
      <c r="G73" s="9" t="n">
        <v>0.2533</v>
      </c>
      <c r="H73" t="inlineStr">
        <is>
          <t>Medium</t>
        </is>
      </c>
      <c r="I73">
        <f>IF(G73&gt;=Assumptions!$B$4,"Yes","No")</f>
        <v/>
      </c>
      <c r="J73" s="8">
        <f>F73*Assumptions!$B$6</f>
        <v/>
      </c>
      <c r="K73" s="10">
        <f>G73*J73</f>
        <v/>
      </c>
      <c r="L73" s="10">
        <f>IF(I73="Yes",G73*Assumptions!$B$5*J73,0)</f>
        <v/>
      </c>
    </row>
    <row r="74">
      <c r="A74" t="n">
        <v>1254</v>
      </c>
      <c r="B74" t="inlineStr">
        <is>
          <t>Sales</t>
        </is>
      </c>
      <c r="C74" t="inlineStr">
        <is>
          <t>Sales Executive</t>
        </is>
      </c>
      <c r="D74" t="inlineStr">
        <is>
          <t>No</t>
        </is>
      </c>
      <c r="E74" s="8" t="n">
        <v>5171</v>
      </c>
      <c r="F74" s="8">
        <f>E74*Assumptions!$B$7</f>
        <v/>
      </c>
      <c r="G74" s="9" t="n">
        <v>0.2518</v>
      </c>
      <c r="H74" t="inlineStr">
        <is>
          <t>Medium</t>
        </is>
      </c>
      <c r="I74">
        <f>IF(G74&gt;=Assumptions!$B$4,"Yes","No")</f>
        <v/>
      </c>
      <c r="J74" s="8">
        <f>F74*Assumptions!$B$6</f>
        <v/>
      </c>
      <c r="K74" s="10">
        <f>G74*J74</f>
        <v/>
      </c>
      <c r="L74" s="10">
        <f>IF(I74="Yes",G74*Assumptions!$B$5*J74,0)</f>
        <v/>
      </c>
    </row>
    <row r="75">
      <c r="A75" t="n">
        <v>437</v>
      </c>
      <c r="B75" t="inlineStr">
        <is>
          <t>Sales</t>
        </is>
      </c>
      <c r="C75" t="inlineStr">
        <is>
          <t>Sales Executive</t>
        </is>
      </c>
      <c r="D75" t="inlineStr">
        <is>
          <t>Yes</t>
        </is>
      </c>
      <c r="E75" s="8" t="n">
        <v>4478</v>
      </c>
      <c r="F75" s="8">
        <f>E75*Assumptions!$B$7</f>
        <v/>
      </c>
      <c r="G75" s="9" t="n">
        <v>0.2509</v>
      </c>
      <c r="H75" t="inlineStr">
        <is>
          <t>Medium</t>
        </is>
      </c>
      <c r="I75">
        <f>IF(G75&gt;=Assumptions!$B$4,"Yes","No")</f>
        <v/>
      </c>
      <c r="J75" s="8">
        <f>F75*Assumptions!$B$6</f>
        <v/>
      </c>
      <c r="K75" s="10">
        <f>G75*J75</f>
        <v/>
      </c>
      <c r="L75" s="10">
        <f>IF(I75="Yes",G75*Assumptions!$B$5*J75,0)</f>
        <v/>
      </c>
    </row>
    <row r="76">
      <c r="A76" t="n">
        <v>1558</v>
      </c>
      <c r="B76" t="inlineStr">
        <is>
          <t>Research &amp; Development</t>
        </is>
      </c>
      <c r="C76" t="inlineStr">
        <is>
          <t>Research Scientist</t>
        </is>
      </c>
      <c r="D76" t="inlineStr">
        <is>
          <t>No</t>
        </is>
      </c>
      <c r="E76" s="8" t="n">
        <v>2451</v>
      </c>
      <c r="F76" s="8">
        <f>E76*Assumptions!$B$7</f>
        <v/>
      </c>
      <c r="G76" s="9" t="n">
        <v>0.2483</v>
      </c>
      <c r="H76" t="inlineStr">
        <is>
          <t>Low</t>
        </is>
      </c>
      <c r="I76">
        <f>IF(G76&gt;=Assumptions!$B$4,"Yes","No")</f>
        <v/>
      </c>
      <c r="J76" s="8">
        <f>F76*Assumptions!$B$6</f>
        <v/>
      </c>
      <c r="K76" s="10">
        <f>G76*J76</f>
        <v/>
      </c>
      <c r="L76" s="10">
        <f>IF(I76="Yes",G76*Assumptions!$B$5*J76,0)</f>
        <v/>
      </c>
    </row>
    <row r="77">
      <c r="A77" t="n">
        <v>1619</v>
      </c>
      <c r="B77" t="inlineStr">
        <is>
          <t>Research &amp; Development</t>
        </is>
      </c>
      <c r="C77" t="inlineStr">
        <is>
          <t>Laboratory Technician</t>
        </is>
      </c>
      <c r="D77" t="inlineStr">
        <is>
          <t>No</t>
        </is>
      </c>
      <c r="E77" s="8" t="n">
        <v>4066</v>
      </c>
      <c r="F77" s="8">
        <f>E77*Assumptions!$B$7</f>
        <v/>
      </c>
      <c r="G77" s="9" t="n">
        <v>0.2468</v>
      </c>
      <c r="H77" t="inlineStr">
        <is>
          <t>Low</t>
        </is>
      </c>
      <c r="I77">
        <f>IF(G77&gt;=Assumptions!$B$4,"Yes","No")</f>
        <v/>
      </c>
      <c r="J77" s="8">
        <f>F77*Assumptions!$B$6</f>
        <v/>
      </c>
      <c r="K77" s="10">
        <f>G77*J77</f>
        <v/>
      </c>
      <c r="L77" s="10">
        <f>IF(I77="Yes",G77*Assumptions!$B$5*J77,0)</f>
        <v/>
      </c>
    </row>
    <row r="78">
      <c r="A78" t="n">
        <v>61</v>
      </c>
      <c r="B78" t="inlineStr">
        <is>
          <t>Research &amp; Development</t>
        </is>
      </c>
      <c r="C78" t="inlineStr">
        <is>
          <t>Research Scientist</t>
        </is>
      </c>
      <c r="D78" t="inlineStr">
        <is>
          <t>No</t>
        </is>
      </c>
      <c r="E78" s="8" t="n">
        <v>3022</v>
      </c>
      <c r="F78" s="8">
        <f>E78*Assumptions!$B$7</f>
        <v/>
      </c>
      <c r="G78" s="9" t="n">
        <v>0.2428</v>
      </c>
      <c r="H78" t="inlineStr">
        <is>
          <t>Low</t>
        </is>
      </c>
      <c r="I78">
        <f>IF(G78&gt;=Assumptions!$B$4,"Yes","No")</f>
        <v/>
      </c>
      <c r="J78" s="8">
        <f>F78*Assumptions!$B$6</f>
        <v/>
      </c>
      <c r="K78" s="10">
        <f>G78*J78</f>
        <v/>
      </c>
      <c r="L78" s="10">
        <f>IF(I78="Yes",G78*Assumptions!$B$5*J78,0)</f>
        <v/>
      </c>
    </row>
    <row r="79">
      <c r="A79" t="n">
        <v>1543</v>
      </c>
      <c r="B79" t="inlineStr">
        <is>
          <t>Research &amp; Development</t>
        </is>
      </c>
      <c r="C79" t="inlineStr">
        <is>
          <t>Research Scientist</t>
        </is>
      </c>
      <c r="D79" t="inlineStr">
        <is>
          <t>No</t>
        </is>
      </c>
      <c r="E79" s="8" t="n">
        <v>4285</v>
      </c>
      <c r="F79" s="8">
        <f>E79*Assumptions!$B$7</f>
        <v/>
      </c>
      <c r="G79" s="9" t="n">
        <v>0.2422</v>
      </c>
      <c r="H79" t="inlineStr">
        <is>
          <t>Low</t>
        </is>
      </c>
      <c r="I79">
        <f>IF(G79&gt;=Assumptions!$B$4,"Yes","No")</f>
        <v/>
      </c>
      <c r="J79" s="8">
        <f>F79*Assumptions!$B$6</f>
        <v/>
      </c>
      <c r="K79" s="10">
        <f>G79*J79</f>
        <v/>
      </c>
      <c r="L79" s="10">
        <f>IF(I79="Yes",G79*Assumptions!$B$5*J79,0)</f>
        <v/>
      </c>
    </row>
    <row r="80">
      <c r="A80" t="n">
        <v>1303</v>
      </c>
      <c r="B80" t="inlineStr">
        <is>
          <t>Research &amp; Development</t>
        </is>
      </c>
      <c r="C80" t="inlineStr">
        <is>
          <t>Research Scientist</t>
        </is>
      </c>
      <c r="D80" t="inlineStr">
        <is>
          <t>No</t>
        </is>
      </c>
      <c r="E80" s="8" t="n">
        <v>2096</v>
      </c>
      <c r="F80" s="8">
        <f>E80*Assumptions!$B$7</f>
        <v/>
      </c>
      <c r="G80" s="9" t="n">
        <v>0.2407</v>
      </c>
      <c r="H80" t="inlineStr">
        <is>
          <t>Low</t>
        </is>
      </c>
      <c r="I80">
        <f>IF(G80&gt;=Assumptions!$B$4,"Yes","No")</f>
        <v/>
      </c>
      <c r="J80" s="8">
        <f>F80*Assumptions!$B$6</f>
        <v/>
      </c>
      <c r="K80" s="10">
        <f>G80*J80</f>
        <v/>
      </c>
      <c r="L80" s="10">
        <f>IF(I80="Yes",G80*Assumptions!$B$5*J80,0)</f>
        <v/>
      </c>
    </row>
    <row r="81">
      <c r="A81" t="n">
        <v>686</v>
      </c>
      <c r="B81" t="inlineStr">
        <is>
          <t>Research &amp; Development</t>
        </is>
      </c>
      <c r="C81" t="inlineStr">
        <is>
          <t>Laboratory Technician</t>
        </is>
      </c>
      <c r="D81" t="inlineStr">
        <is>
          <t>Yes</t>
        </is>
      </c>
      <c r="E81" s="8" t="n">
        <v>2659</v>
      </c>
      <c r="F81" s="8">
        <f>E81*Assumptions!$B$7</f>
        <v/>
      </c>
      <c r="G81" s="9" t="n">
        <v>0.2401</v>
      </c>
      <c r="H81" t="inlineStr">
        <is>
          <t>Low</t>
        </is>
      </c>
      <c r="I81">
        <f>IF(G81&gt;=Assumptions!$B$4,"Yes","No")</f>
        <v/>
      </c>
      <c r="J81" s="8">
        <f>F81*Assumptions!$B$6</f>
        <v/>
      </c>
      <c r="K81" s="10">
        <f>G81*J81</f>
        <v/>
      </c>
      <c r="L81" s="10">
        <f>IF(I81="Yes",G81*Assumptions!$B$5*J81,0)</f>
        <v/>
      </c>
    </row>
    <row r="82">
      <c r="A82" t="n">
        <v>2003</v>
      </c>
      <c r="B82" t="inlineStr">
        <is>
          <t>Research &amp; Development</t>
        </is>
      </c>
      <c r="C82" t="inlineStr">
        <is>
          <t>Laboratory Technician</t>
        </is>
      </c>
      <c r="D82" t="inlineStr">
        <is>
          <t>Yes</t>
        </is>
      </c>
      <c r="E82" s="8" t="n">
        <v>2660</v>
      </c>
      <c r="F82" s="8">
        <f>E82*Assumptions!$B$7</f>
        <v/>
      </c>
      <c r="G82" s="9" t="n">
        <v>0.2396</v>
      </c>
      <c r="H82" t="inlineStr">
        <is>
          <t>Low</t>
        </is>
      </c>
      <c r="I82">
        <f>IF(G82&gt;=Assumptions!$B$4,"Yes","No")</f>
        <v/>
      </c>
      <c r="J82" s="8">
        <f>F82*Assumptions!$B$6</f>
        <v/>
      </c>
      <c r="K82" s="10">
        <f>G82*J82</f>
        <v/>
      </c>
      <c r="L82" s="10">
        <f>IF(I82="Yes",G82*Assumptions!$B$5*J82,0)</f>
        <v/>
      </c>
    </row>
    <row r="83">
      <c r="A83" t="n">
        <v>732</v>
      </c>
      <c r="B83" t="inlineStr">
        <is>
          <t>Sales</t>
        </is>
      </c>
      <c r="C83" t="inlineStr">
        <is>
          <t>Sales Executive</t>
        </is>
      </c>
      <c r="D83" t="inlineStr">
        <is>
          <t>No</t>
        </is>
      </c>
      <c r="E83" s="8" t="n">
        <v>5405</v>
      </c>
      <c r="F83" s="8">
        <f>E83*Assumptions!$B$7</f>
        <v/>
      </c>
      <c r="G83" s="9" t="n">
        <v>0.2386</v>
      </c>
      <c r="H83" t="inlineStr">
        <is>
          <t>Low</t>
        </is>
      </c>
      <c r="I83">
        <f>IF(G83&gt;=Assumptions!$B$4,"Yes","No")</f>
        <v/>
      </c>
      <c r="J83" s="8">
        <f>F83*Assumptions!$B$6</f>
        <v/>
      </c>
      <c r="K83" s="10">
        <f>G83*J83</f>
        <v/>
      </c>
      <c r="L83" s="10">
        <f>IF(I83="Yes",G83*Assumptions!$B$5*J83,0)</f>
        <v/>
      </c>
    </row>
    <row r="84">
      <c r="A84" t="n">
        <v>2054</v>
      </c>
      <c r="B84" t="inlineStr">
        <is>
          <t>Research &amp; Development</t>
        </is>
      </c>
      <c r="C84" t="inlineStr">
        <is>
          <t>Research Scientist</t>
        </is>
      </c>
      <c r="D84" t="inlineStr">
        <is>
          <t>No</t>
        </is>
      </c>
      <c r="E84" s="8" t="n">
        <v>3785</v>
      </c>
      <c r="F84" s="8">
        <f>E84*Assumptions!$B$7</f>
        <v/>
      </c>
      <c r="G84" s="9" t="n">
        <v>0.2374</v>
      </c>
      <c r="H84" t="inlineStr">
        <is>
          <t>Low</t>
        </is>
      </c>
      <c r="I84">
        <f>IF(G84&gt;=Assumptions!$B$4,"Yes","No")</f>
        <v/>
      </c>
      <c r="J84" s="8">
        <f>F84*Assumptions!$B$6</f>
        <v/>
      </c>
      <c r="K84" s="10">
        <f>G84*J84</f>
        <v/>
      </c>
      <c r="L84" s="10">
        <f>IF(I84="Yes",G84*Assumptions!$B$5*J84,0)</f>
        <v/>
      </c>
    </row>
    <row r="85">
      <c r="A85" t="n">
        <v>1883</v>
      </c>
      <c r="B85" t="inlineStr">
        <is>
          <t>Research &amp; Development</t>
        </is>
      </c>
      <c r="C85" t="inlineStr">
        <is>
          <t>Laboratory Technician</t>
        </is>
      </c>
      <c r="D85" t="inlineStr">
        <is>
          <t>No</t>
        </is>
      </c>
      <c r="E85" s="8" t="n">
        <v>2062</v>
      </c>
      <c r="F85" s="8">
        <f>E85*Assumptions!$B$7</f>
        <v/>
      </c>
      <c r="G85" s="9" t="n">
        <v>0.2347</v>
      </c>
      <c r="H85" t="inlineStr">
        <is>
          <t>Low</t>
        </is>
      </c>
      <c r="I85">
        <f>IF(G85&gt;=Assumptions!$B$4,"Yes","No")</f>
        <v/>
      </c>
      <c r="J85" s="8">
        <f>F85*Assumptions!$B$6</f>
        <v/>
      </c>
      <c r="K85" s="10">
        <f>G85*J85</f>
        <v/>
      </c>
      <c r="L85" s="10">
        <f>IF(I85="Yes",G85*Assumptions!$B$5*J85,0)</f>
        <v/>
      </c>
    </row>
    <row r="86">
      <c r="A86" t="n">
        <v>1987</v>
      </c>
      <c r="B86" t="inlineStr">
        <is>
          <t>Human Resources</t>
        </is>
      </c>
      <c r="C86" t="inlineStr">
        <is>
          <t>Human Resources</t>
        </is>
      </c>
      <c r="D86" t="inlineStr">
        <is>
          <t>No</t>
        </is>
      </c>
      <c r="E86" s="8" t="n">
        <v>2187</v>
      </c>
      <c r="F86" s="8">
        <f>E86*Assumptions!$B$7</f>
        <v/>
      </c>
      <c r="G86" s="9" t="n">
        <v>0.2337</v>
      </c>
      <c r="H86" t="inlineStr">
        <is>
          <t>Low</t>
        </is>
      </c>
      <c r="I86">
        <f>IF(G86&gt;=Assumptions!$B$4,"Yes","No")</f>
        <v/>
      </c>
      <c r="J86" s="8">
        <f>F86*Assumptions!$B$6</f>
        <v/>
      </c>
      <c r="K86" s="10">
        <f>G86*J86</f>
        <v/>
      </c>
      <c r="L86" s="10">
        <f>IF(I86="Yes",G86*Assumptions!$B$5*J86,0)</f>
        <v/>
      </c>
    </row>
    <row r="87">
      <c r="A87" t="n">
        <v>1724</v>
      </c>
      <c r="B87" t="inlineStr">
        <is>
          <t>Research &amp; Development</t>
        </is>
      </c>
      <c r="C87" t="inlineStr">
        <is>
          <t>Manufacturing Director</t>
        </is>
      </c>
      <c r="D87" t="inlineStr">
        <is>
          <t>Yes</t>
        </is>
      </c>
      <c r="E87" s="8" t="n">
        <v>6516</v>
      </c>
      <c r="F87" s="8">
        <f>E87*Assumptions!$B$7</f>
        <v/>
      </c>
      <c r="G87" s="9" t="n">
        <v>0.2308</v>
      </c>
      <c r="H87" t="inlineStr">
        <is>
          <t>Low</t>
        </is>
      </c>
      <c r="I87">
        <f>IF(G87&gt;=Assumptions!$B$4,"Yes","No")</f>
        <v/>
      </c>
      <c r="J87" s="8">
        <f>F87*Assumptions!$B$6</f>
        <v/>
      </c>
      <c r="K87" s="10">
        <f>G87*J87</f>
        <v/>
      </c>
      <c r="L87" s="10">
        <f>IF(I87="Yes",G87*Assumptions!$B$5*J87,0)</f>
        <v/>
      </c>
    </row>
    <row r="88">
      <c r="A88" t="n">
        <v>1478</v>
      </c>
      <c r="B88" t="inlineStr">
        <is>
          <t>Sales</t>
        </is>
      </c>
      <c r="C88" t="inlineStr">
        <is>
          <t>Sales Executive</t>
        </is>
      </c>
      <c r="D88" t="inlineStr">
        <is>
          <t>No</t>
        </is>
      </c>
      <c r="E88" s="8" t="n">
        <v>4759</v>
      </c>
      <c r="F88" s="8">
        <f>E88*Assumptions!$B$7</f>
        <v/>
      </c>
      <c r="G88" s="9" t="n">
        <v>0.2297</v>
      </c>
      <c r="H88" t="inlineStr">
        <is>
          <t>Low</t>
        </is>
      </c>
      <c r="I88">
        <f>IF(G88&gt;=Assumptions!$B$4,"Yes","No")</f>
        <v/>
      </c>
      <c r="J88" s="8">
        <f>F88*Assumptions!$B$6</f>
        <v/>
      </c>
      <c r="K88" s="10">
        <f>G88*J88</f>
        <v/>
      </c>
      <c r="L88" s="10">
        <f>IF(I88="Yes",G88*Assumptions!$B$5*J88,0)</f>
        <v/>
      </c>
    </row>
    <row r="89">
      <c r="A89" t="n">
        <v>1481</v>
      </c>
      <c r="B89" t="inlineStr">
        <is>
          <t>Sales</t>
        </is>
      </c>
      <c r="C89" t="inlineStr">
        <is>
          <t>Sales Executive</t>
        </is>
      </c>
      <c r="D89" t="inlineStr">
        <is>
          <t>No</t>
        </is>
      </c>
      <c r="E89" s="8" t="n">
        <v>4768</v>
      </c>
      <c r="F89" s="8">
        <f>E89*Assumptions!$B$7</f>
        <v/>
      </c>
      <c r="G89" s="9" t="n">
        <v>0.2296</v>
      </c>
      <c r="H89" t="inlineStr">
        <is>
          <t>Low</t>
        </is>
      </c>
      <c r="I89">
        <f>IF(G89&gt;=Assumptions!$B$4,"Yes","No")</f>
        <v/>
      </c>
      <c r="J89" s="8">
        <f>F89*Assumptions!$B$6</f>
        <v/>
      </c>
      <c r="K89" s="10">
        <f>G89*J89</f>
        <v/>
      </c>
      <c r="L89" s="10">
        <f>IF(I89="Yes",G89*Assumptions!$B$5*J89,0)</f>
        <v/>
      </c>
    </row>
    <row r="90">
      <c r="A90" t="n">
        <v>30</v>
      </c>
      <c r="B90" t="inlineStr">
        <is>
          <t>Research &amp; Development</t>
        </is>
      </c>
      <c r="C90" t="inlineStr">
        <is>
          <t>Research Scientist</t>
        </is>
      </c>
      <c r="D90" t="inlineStr">
        <is>
          <t>No</t>
        </is>
      </c>
      <c r="E90" s="8" t="n">
        <v>1232</v>
      </c>
      <c r="F90" s="8">
        <f>E90*Assumptions!$B$7</f>
        <v/>
      </c>
      <c r="G90" s="9" t="n">
        <v>0.229</v>
      </c>
      <c r="H90" t="inlineStr">
        <is>
          <t>Low</t>
        </is>
      </c>
      <c r="I90">
        <f>IF(G90&gt;=Assumptions!$B$4,"Yes","No")</f>
        <v/>
      </c>
      <c r="J90" s="8">
        <f>F90*Assumptions!$B$6</f>
        <v/>
      </c>
      <c r="K90" s="10">
        <f>G90*J90</f>
        <v/>
      </c>
      <c r="L90" s="10">
        <f>IF(I90="Yes",G90*Assumptions!$B$5*J90,0)</f>
        <v/>
      </c>
    </row>
    <row r="91">
      <c r="A91" t="n">
        <v>269</v>
      </c>
      <c r="B91" t="inlineStr">
        <is>
          <t>Research &amp; Development</t>
        </is>
      </c>
      <c r="C91" t="inlineStr">
        <is>
          <t>Laboratory Technician</t>
        </is>
      </c>
      <c r="D91" t="inlineStr">
        <is>
          <t>No</t>
        </is>
      </c>
      <c r="E91" s="8" t="n">
        <v>4425</v>
      </c>
      <c r="F91" s="8">
        <f>E91*Assumptions!$B$7</f>
        <v/>
      </c>
      <c r="G91" s="9" t="n">
        <v>0.2278</v>
      </c>
      <c r="H91" t="inlineStr">
        <is>
          <t>Low</t>
        </is>
      </c>
      <c r="I91">
        <f>IF(G91&gt;=Assumptions!$B$4,"Yes","No")</f>
        <v/>
      </c>
      <c r="J91" s="8">
        <f>F91*Assumptions!$B$6</f>
        <v/>
      </c>
      <c r="K91" s="10">
        <f>G91*J91</f>
        <v/>
      </c>
      <c r="L91" s="10">
        <f>IF(I91="Yes",G91*Assumptions!$B$5*J91,0)</f>
        <v/>
      </c>
    </row>
    <row r="92">
      <c r="A92" t="n">
        <v>1657</v>
      </c>
      <c r="B92" t="inlineStr">
        <is>
          <t>Sales</t>
        </is>
      </c>
      <c r="C92" t="inlineStr">
        <is>
          <t>Sales Representative</t>
        </is>
      </c>
      <c r="D92" t="inlineStr">
        <is>
          <t>No</t>
        </is>
      </c>
      <c r="E92" s="8" t="n">
        <v>2783</v>
      </c>
      <c r="F92" s="8">
        <f>E92*Assumptions!$B$7</f>
        <v/>
      </c>
      <c r="G92" s="9" t="n">
        <v>0.2272</v>
      </c>
      <c r="H92" t="inlineStr">
        <is>
          <t>Low</t>
        </is>
      </c>
      <c r="I92">
        <f>IF(G92&gt;=Assumptions!$B$4,"Yes","No")</f>
        <v/>
      </c>
      <c r="J92" s="8">
        <f>F92*Assumptions!$B$6</f>
        <v/>
      </c>
      <c r="K92" s="10">
        <f>G92*J92</f>
        <v/>
      </c>
      <c r="L92" s="10">
        <f>IF(I92="Yes",G92*Assumptions!$B$5*J92,0)</f>
        <v/>
      </c>
    </row>
    <row r="93">
      <c r="A93" t="n">
        <v>912</v>
      </c>
      <c r="B93" t="inlineStr">
        <is>
          <t>Research &amp; Development</t>
        </is>
      </c>
      <c r="C93" t="inlineStr">
        <is>
          <t>Laboratory Technician</t>
        </is>
      </c>
      <c r="D93" t="inlineStr">
        <is>
          <t>No</t>
        </is>
      </c>
      <c r="E93" s="8" t="n">
        <v>2532</v>
      </c>
      <c r="F93" s="8">
        <f>E93*Assumptions!$B$7</f>
        <v/>
      </c>
      <c r="G93" s="9" t="n">
        <v>0.2254</v>
      </c>
      <c r="H93" t="inlineStr">
        <is>
          <t>Low</t>
        </is>
      </c>
      <c r="I93">
        <f>IF(G93&gt;=Assumptions!$B$4,"Yes","No")</f>
        <v/>
      </c>
      <c r="J93" s="8">
        <f>F93*Assumptions!$B$6</f>
        <v/>
      </c>
      <c r="K93" s="10">
        <f>G93*J93</f>
        <v/>
      </c>
      <c r="L93" s="10">
        <f>IF(I93="Yes",G93*Assumptions!$B$5*J93,0)</f>
        <v/>
      </c>
    </row>
    <row r="94">
      <c r="A94" t="n">
        <v>120</v>
      </c>
      <c r="B94" t="inlineStr">
        <is>
          <t>Sales</t>
        </is>
      </c>
      <c r="C94" t="inlineStr">
        <is>
          <t>Sales Executive</t>
        </is>
      </c>
      <c r="D94" t="inlineStr">
        <is>
          <t>Yes</t>
        </is>
      </c>
      <c r="E94" s="8" t="n">
        <v>5441</v>
      </c>
      <c r="F94" s="8">
        <f>E94*Assumptions!$B$7</f>
        <v/>
      </c>
      <c r="G94" s="9" t="n">
        <v>0.2234</v>
      </c>
      <c r="H94" t="inlineStr">
        <is>
          <t>Low</t>
        </is>
      </c>
      <c r="I94">
        <f>IF(G94&gt;=Assumptions!$B$4,"Yes","No")</f>
        <v/>
      </c>
      <c r="J94" s="8">
        <f>F94*Assumptions!$B$6</f>
        <v/>
      </c>
      <c r="K94" s="10">
        <f>G94*J94</f>
        <v/>
      </c>
      <c r="L94" s="10">
        <f>IF(I94="Yes",G94*Assumptions!$B$5*J94,0)</f>
        <v/>
      </c>
    </row>
    <row r="95">
      <c r="A95" t="n">
        <v>1710</v>
      </c>
      <c r="B95" t="inlineStr">
        <is>
          <t>Sales</t>
        </is>
      </c>
      <c r="C95" t="inlineStr">
        <is>
          <t>Sales Representative</t>
        </is>
      </c>
      <c r="D95" t="inlineStr">
        <is>
          <t>No</t>
        </is>
      </c>
      <c r="E95" s="8" t="n">
        <v>4502</v>
      </c>
      <c r="F95" s="8">
        <f>E95*Assumptions!$B$7</f>
        <v/>
      </c>
      <c r="G95" s="9" t="n">
        <v>0.2203</v>
      </c>
      <c r="H95" t="inlineStr">
        <is>
          <t>Low</t>
        </is>
      </c>
      <c r="I95">
        <f>IF(G95&gt;=Assumptions!$B$4,"Yes","No")</f>
        <v/>
      </c>
      <c r="J95" s="8">
        <f>F95*Assumptions!$B$6</f>
        <v/>
      </c>
      <c r="K95" s="10">
        <f>G95*J95</f>
        <v/>
      </c>
      <c r="L95" s="10">
        <f>IF(I95="Yes",G95*Assumptions!$B$5*J95,0)</f>
        <v/>
      </c>
    </row>
    <row r="96">
      <c r="A96" t="n">
        <v>1678</v>
      </c>
      <c r="B96" t="inlineStr">
        <is>
          <t>Sales</t>
        </is>
      </c>
      <c r="C96" t="inlineStr">
        <is>
          <t>Sales Executive</t>
        </is>
      </c>
      <c r="D96" t="inlineStr">
        <is>
          <t>Yes</t>
        </is>
      </c>
      <c r="E96" s="8" t="n">
        <v>7082</v>
      </c>
      <c r="F96" s="8">
        <f>E96*Assumptions!$B$7</f>
        <v/>
      </c>
      <c r="G96" s="9" t="n">
        <v>0.2196</v>
      </c>
      <c r="H96" t="inlineStr">
        <is>
          <t>Low</t>
        </is>
      </c>
      <c r="I96">
        <f>IF(G96&gt;=Assumptions!$B$4,"Yes","No")</f>
        <v/>
      </c>
      <c r="J96" s="8">
        <f>F96*Assumptions!$B$6</f>
        <v/>
      </c>
      <c r="K96" s="10">
        <f>G96*J96</f>
        <v/>
      </c>
      <c r="L96" s="10">
        <f>IF(I96="Yes",G96*Assumptions!$B$5*J96,0)</f>
        <v/>
      </c>
    </row>
    <row r="97">
      <c r="A97" t="n">
        <v>1125</v>
      </c>
      <c r="B97" t="inlineStr">
        <is>
          <t>Sales</t>
        </is>
      </c>
      <c r="C97" t="inlineStr">
        <is>
          <t>Sales Executive</t>
        </is>
      </c>
      <c r="D97" t="inlineStr">
        <is>
          <t>No</t>
        </is>
      </c>
      <c r="E97" s="8" t="n">
        <v>7351</v>
      </c>
      <c r="F97" s="8">
        <f>E97*Assumptions!$B$7</f>
        <v/>
      </c>
      <c r="G97" s="9" t="n">
        <v>0.2175</v>
      </c>
      <c r="H97" t="inlineStr">
        <is>
          <t>Low</t>
        </is>
      </c>
      <c r="I97">
        <f>IF(G97&gt;=Assumptions!$B$4,"Yes","No")</f>
        <v/>
      </c>
      <c r="J97" s="8">
        <f>F97*Assumptions!$B$6</f>
        <v/>
      </c>
      <c r="K97" s="10">
        <f>G97*J97</f>
        <v/>
      </c>
      <c r="L97" s="10">
        <f>IF(I97="Yes",G97*Assumptions!$B$5*J97,0)</f>
        <v/>
      </c>
    </row>
    <row r="98">
      <c r="A98" t="n">
        <v>475</v>
      </c>
      <c r="B98" t="inlineStr">
        <is>
          <t>Sales</t>
        </is>
      </c>
      <c r="C98" t="inlineStr">
        <is>
          <t>Sales Executive</t>
        </is>
      </c>
      <c r="D98" t="inlineStr">
        <is>
          <t>Yes</t>
        </is>
      </c>
      <c r="E98" s="8" t="n">
        <v>4736</v>
      </c>
      <c r="F98" s="8">
        <f>E98*Assumptions!$B$7</f>
        <v/>
      </c>
      <c r="G98" s="9" t="n">
        <v>0.2173</v>
      </c>
      <c r="H98" t="inlineStr">
        <is>
          <t>Low</t>
        </is>
      </c>
      <c r="I98">
        <f>IF(G98&gt;=Assumptions!$B$4,"Yes","No")</f>
        <v/>
      </c>
      <c r="J98" s="8">
        <f>F98*Assumptions!$B$6</f>
        <v/>
      </c>
      <c r="K98" s="10">
        <f>G98*J98</f>
        <v/>
      </c>
      <c r="L98" s="10">
        <f>IF(I98="Yes",G98*Assumptions!$B$5*J98,0)</f>
        <v/>
      </c>
    </row>
    <row r="99">
      <c r="A99" t="n">
        <v>1055</v>
      </c>
      <c r="B99" t="inlineStr">
        <is>
          <t>Sales</t>
        </is>
      </c>
      <c r="C99" t="inlineStr">
        <is>
          <t>Sales Representative</t>
        </is>
      </c>
      <c r="D99" t="inlineStr">
        <is>
          <t>Yes</t>
        </is>
      </c>
      <c r="E99" s="8" t="n">
        <v>2220</v>
      </c>
      <c r="F99" s="8">
        <f>E99*Assumptions!$B$7</f>
        <v/>
      </c>
      <c r="G99" s="9" t="n">
        <v>0.2154</v>
      </c>
      <c r="H99" t="inlineStr">
        <is>
          <t>Low</t>
        </is>
      </c>
      <c r="I99">
        <f>IF(G99&gt;=Assumptions!$B$4,"Yes","No")</f>
        <v/>
      </c>
      <c r="J99" s="8">
        <f>F99*Assumptions!$B$6</f>
        <v/>
      </c>
      <c r="K99" s="10">
        <f>G99*J99</f>
        <v/>
      </c>
      <c r="L99" s="10">
        <f>IF(I99="Yes",G99*Assumptions!$B$5*J99,0)</f>
        <v/>
      </c>
    </row>
    <row r="100">
      <c r="A100" t="n">
        <v>773</v>
      </c>
      <c r="B100" t="inlineStr">
        <is>
          <t>Research &amp; Development</t>
        </is>
      </c>
      <c r="C100" t="inlineStr">
        <is>
          <t>Research Scientist</t>
        </is>
      </c>
      <c r="D100" t="inlineStr">
        <is>
          <t>Yes</t>
        </is>
      </c>
      <c r="E100" s="8" t="n">
        <v>3057</v>
      </c>
      <c r="F100" s="8">
        <f>E100*Assumptions!$B$7</f>
        <v/>
      </c>
      <c r="G100" s="9" t="n">
        <v>0.2144</v>
      </c>
      <c r="H100" t="inlineStr">
        <is>
          <t>Low</t>
        </is>
      </c>
      <c r="I100">
        <f>IF(G100&gt;=Assumptions!$B$4,"Yes","No")</f>
        <v/>
      </c>
      <c r="J100" s="8">
        <f>F100*Assumptions!$B$6</f>
        <v/>
      </c>
      <c r="K100" s="10">
        <f>G100*J100</f>
        <v/>
      </c>
      <c r="L100" s="10">
        <f>IF(I100="Yes",G100*Assumptions!$B$5*J100,0)</f>
        <v/>
      </c>
    </row>
    <row r="101">
      <c r="A101" t="n">
        <v>2068</v>
      </c>
      <c r="B101" t="inlineStr">
        <is>
          <t>Research &amp; Development</t>
        </is>
      </c>
      <c r="C101" t="inlineStr">
        <is>
          <t>Laboratory Technician</t>
        </is>
      </c>
      <c r="D101" t="inlineStr">
        <is>
          <t>No</t>
        </is>
      </c>
      <c r="E101" s="8" t="n">
        <v>4404</v>
      </c>
      <c r="F101" s="8">
        <f>E101*Assumptions!$B$7</f>
        <v/>
      </c>
      <c r="G101" s="9" t="n">
        <v>0.2137</v>
      </c>
      <c r="H101" t="inlineStr">
        <is>
          <t>Low</t>
        </is>
      </c>
      <c r="I101">
        <f>IF(G101&gt;=Assumptions!$B$4,"Yes","No")</f>
        <v/>
      </c>
      <c r="J101" s="8">
        <f>F101*Assumptions!$B$6</f>
        <v/>
      </c>
      <c r="K101" s="10">
        <f>G101*J101</f>
        <v/>
      </c>
      <c r="L101" s="10">
        <f>IF(I101="Yes",G101*Assumptions!$B$5*J101,0)</f>
        <v/>
      </c>
    </row>
    <row r="102">
      <c r="A102" t="n">
        <v>2046</v>
      </c>
      <c r="B102" t="inlineStr">
        <is>
          <t>Sales</t>
        </is>
      </c>
      <c r="C102" t="inlineStr">
        <is>
          <t>Sales Executive</t>
        </is>
      </c>
      <c r="D102" t="inlineStr">
        <is>
          <t>No</t>
        </is>
      </c>
      <c r="E102" s="8" t="n">
        <v>4850</v>
      </c>
      <c r="F102" s="8">
        <f>E102*Assumptions!$B$7</f>
        <v/>
      </c>
      <c r="G102" s="9" t="n">
        <v>0.2126</v>
      </c>
      <c r="H102" t="inlineStr">
        <is>
          <t>Low</t>
        </is>
      </c>
      <c r="I102">
        <f>IF(G102&gt;=Assumptions!$B$4,"Yes","No")</f>
        <v/>
      </c>
      <c r="J102" s="8">
        <f>F102*Assumptions!$B$6</f>
        <v/>
      </c>
      <c r="K102" s="10">
        <f>G102*J102</f>
        <v/>
      </c>
      <c r="L102" s="10">
        <f>IF(I102="Yes",G102*Assumptions!$B$5*J102,0)</f>
        <v/>
      </c>
    </row>
    <row r="103">
      <c r="A103" t="n">
        <v>758</v>
      </c>
      <c r="B103" t="inlineStr">
        <is>
          <t>Research &amp; Development</t>
        </is>
      </c>
      <c r="C103" t="inlineStr">
        <is>
          <t>Laboratory Technician</t>
        </is>
      </c>
      <c r="D103" t="inlineStr">
        <is>
          <t>No</t>
        </is>
      </c>
      <c r="E103" s="8" t="n">
        <v>2500</v>
      </c>
      <c r="F103" s="8">
        <f>E103*Assumptions!$B$7</f>
        <v/>
      </c>
      <c r="G103" s="9" t="n">
        <v>0.2125</v>
      </c>
      <c r="H103" t="inlineStr">
        <is>
          <t>Low</t>
        </is>
      </c>
      <c r="I103">
        <f>IF(G103&gt;=Assumptions!$B$4,"Yes","No")</f>
        <v/>
      </c>
      <c r="J103" s="8">
        <f>F103*Assumptions!$B$6</f>
        <v/>
      </c>
      <c r="K103" s="10">
        <f>G103*J103</f>
        <v/>
      </c>
      <c r="L103" s="10">
        <f>IF(I103="Yes",G103*Assumptions!$B$5*J103,0)</f>
        <v/>
      </c>
    </row>
    <row r="104">
      <c r="A104" t="n">
        <v>812</v>
      </c>
      <c r="B104" t="inlineStr">
        <is>
          <t>Research &amp; Development</t>
        </is>
      </c>
      <c r="C104" t="inlineStr">
        <is>
          <t>Laboratory Technician</t>
        </is>
      </c>
      <c r="D104" t="inlineStr">
        <is>
          <t>No</t>
        </is>
      </c>
      <c r="E104" s="8" t="n">
        <v>2694</v>
      </c>
      <c r="F104" s="8">
        <f>E104*Assumptions!$B$7</f>
        <v/>
      </c>
      <c r="G104" s="9" t="n">
        <v>0.2124</v>
      </c>
      <c r="H104" t="inlineStr">
        <is>
          <t>Low</t>
        </is>
      </c>
      <c r="I104">
        <f>IF(G104&gt;=Assumptions!$B$4,"Yes","No")</f>
        <v/>
      </c>
      <c r="J104" s="8">
        <f>F104*Assumptions!$B$6</f>
        <v/>
      </c>
      <c r="K104" s="10">
        <f>G104*J104</f>
        <v/>
      </c>
      <c r="L104" s="10">
        <f>IF(I104="Yes",G104*Assumptions!$B$5*J104,0)</f>
        <v/>
      </c>
    </row>
    <row r="105">
      <c r="A105" t="n">
        <v>749</v>
      </c>
      <c r="B105" t="inlineStr">
        <is>
          <t>Sales</t>
        </is>
      </c>
      <c r="C105" t="inlineStr">
        <is>
          <t>Sales Representative</t>
        </is>
      </c>
      <c r="D105" t="inlineStr">
        <is>
          <t>No</t>
        </is>
      </c>
      <c r="E105" s="8" t="n">
        <v>2642</v>
      </c>
      <c r="F105" s="8">
        <f>E105*Assumptions!$B$7</f>
        <v/>
      </c>
      <c r="G105" s="9" t="n">
        <v>0.2122</v>
      </c>
      <c r="H105" t="inlineStr">
        <is>
          <t>Low</t>
        </is>
      </c>
      <c r="I105">
        <f>IF(G105&gt;=Assumptions!$B$4,"Yes","No")</f>
        <v/>
      </c>
      <c r="J105" s="8">
        <f>F105*Assumptions!$B$6</f>
        <v/>
      </c>
      <c r="K105" s="10">
        <f>G105*J105</f>
        <v/>
      </c>
      <c r="L105" s="10">
        <f>IF(I105="Yes",G105*Assumptions!$B$5*J105,0)</f>
        <v/>
      </c>
    </row>
    <row r="106">
      <c r="A106" t="n">
        <v>518</v>
      </c>
      <c r="B106" t="inlineStr">
        <is>
          <t>Research &amp; Development</t>
        </is>
      </c>
      <c r="C106" t="inlineStr">
        <is>
          <t>Manufacturing Director</t>
        </is>
      </c>
      <c r="D106" t="inlineStr">
        <is>
          <t>Yes</t>
        </is>
      </c>
      <c r="E106" s="8" t="n">
        <v>4197</v>
      </c>
      <c r="F106" s="8">
        <f>E106*Assumptions!$B$7</f>
        <v/>
      </c>
      <c r="G106" s="9" t="n">
        <v>0.2107</v>
      </c>
      <c r="H106" t="inlineStr">
        <is>
          <t>Low</t>
        </is>
      </c>
      <c r="I106">
        <f>IF(G106&gt;=Assumptions!$B$4,"Yes","No")</f>
        <v/>
      </c>
      <c r="J106" s="8">
        <f>F106*Assumptions!$B$6</f>
        <v/>
      </c>
      <c r="K106" s="10">
        <f>G106*J106</f>
        <v/>
      </c>
      <c r="L106" s="10">
        <f>IF(I106="Yes",G106*Assumptions!$B$5*J106,0)</f>
        <v/>
      </c>
    </row>
    <row r="107">
      <c r="A107" t="n">
        <v>1864</v>
      </c>
      <c r="B107" t="inlineStr">
        <is>
          <t>Sales</t>
        </is>
      </c>
      <c r="C107" t="inlineStr">
        <is>
          <t>Sales Representative</t>
        </is>
      </c>
      <c r="D107" t="inlineStr">
        <is>
          <t>No</t>
        </is>
      </c>
      <c r="E107" s="8" t="n">
        <v>3540</v>
      </c>
      <c r="F107" s="8">
        <f>E107*Assumptions!$B$7</f>
        <v/>
      </c>
      <c r="G107" s="9" t="n">
        <v>0.2093</v>
      </c>
      <c r="H107" t="inlineStr">
        <is>
          <t>Low</t>
        </is>
      </c>
      <c r="I107">
        <f>IF(G107&gt;=Assumptions!$B$4,"Yes","No")</f>
        <v/>
      </c>
      <c r="J107" s="8">
        <f>F107*Assumptions!$B$6</f>
        <v/>
      </c>
      <c r="K107" s="10">
        <f>G107*J107</f>
        <v/>
      </c>
      <c r="L107" s="10">
        <f>IF(I107="Yes",G107*Assumptions!$B$5*J107,0)</f>
        <v/>
      </c>
    </row>
    <row r="108">
      <c r="A108" t="n">
        <v>913</v>
      </c>
      <c r="B108" t="inlineStr">
        <is>
          <t>Research &amp; Development</t>
        </is>
      </c>
      <c r="C108" t="inlineStr">
        <is>
          <t>Research Scientist</t>
        </is>
      </c>
      <c r="D108" t="inlineStr">
        <is>
          <t>Yes</t>
        </is>
      </c>
      <c r="E108" s="8" t="n">
        <v>2559</v>
      </c>
      <c r="F108" s="8">
        <f>E108*Assumptions!$B$7</f>
        <v/>
      </c>
      <c r="G108" s="9" t="n">
        <v>0.2088</v>
      </c>
      <c r="H108" t="inlineStr">
        <is>
          <t>Low</t>
        </is>
      </c>
      <c r="I108">
        <f>IF(G108&gt;=Assumptions!$B$4,"Yes","No")</f>
        <v/>
      </c>
      <c r="J108" s="8">
        <f>F108*Assumptions!$B$6</f>
        <v/>
      </c>
      <c r="K108" s="10">
        <f>G108*J108</f>
        <v/>
      </c>
      <c r="L108" s="10">
        <f>IF(I108="Yes",G108*Assumptions!$B$5*J108,0)</f>
        <v/>
      </c>
    </row>
    <row r="109">
      <c r="A109" t="n">
        <v>284</v>
      </c>
      <c r="B109" t="inlineStr">
        <is>
          <t>Research &amp; Development</t>
        </is>
      </c>
      <c r="C109" t="inlineStr">
        <is>
          <t>Research Scientist</t>
        </is>
      </c>
      <c r="D109" t="inlineStr">
        <is>
          <t>Yes</t>
        </is>
      </c>
      <c r="E109" s="8" t="n">
        <v>2328</v>
      </c>
      <c r="F109" s="8">
        <f>E109*Assumptions!$B$7</f>
        <v/>
      </c>
      <c r="G109" s="9" t="n">
        <v>0.206</v>
      </c>
      <c r="H109" t="inlineStr">
        <is>
          <t>Low</t>
        </is>
      </c>
      <c r="I109">
        <f>IF(G109&gt;=Assumptions!$B$4,"Yes","No")</f>
        <v/>
      </c>
      <c r="J109" s="8">
        <f>F109*Assumptions!$B$6</f>
        <v/>
      </c>
      <c r="K109" s="10">
        <f>G109*J109</f>
        <v/>
      </c>
      <c r="L109" s="10">
        <f>IF(I109="Yes",G109*Assumptions!$B$5*J109,0)</f>
        <v/>
      </c>
    </row>
    <row r="110">
      <c r="A110" t="n">
        <v>311</v>
      </c>
      <c r="B110" t="inlineStr">
        <is>
          <t>Sales</t>
        </is>
      </c>
      <c r="C110" t="inlineStr">
        <is>
          <t>Sales Representative</t>
        </is>
      </c>
      <c r="D110" t="inlineStr">
        <is>
          <t>No</t>
        </is>
      </c>
      <c r="E110" s="8" t="n">
        <v>2793</v>
      </c>
      <c r="F110" s="8">
        <f>E110*Assumptions!$B$7</f>
        <v/>
      </c>
      <c r="G110" s="9" t="n">
        <v>0.2041</v>
      </c>
      <c r="H110" t="inlineStr">
        <is>
          <t>Low</t>
        </is>
      </c>
      <c r="I110">
        <f>IF(G110&gt;=Assumptions!$B$4,"Yes","No")</f>
        <v/>
      </c>
      <c r="J110" s="8">
        <f>F110*Assumptions!$B$6</f>
        <v/>
      </c>
      <c r="K110" s="10">
        <f>G110*J110</f>
        <v/>
      </c>
      <c r="L110" s="10">
        <f>IF(I110="Yes",G110*Assumptions!$B$5*J110,0)</f>
        <v/>
      </c>
    </row>
    <row r="111">
      <c r="A111" t="n">
        <v>803</v>
      </c>
      <c r="B111" t="inlineStr">
        <is>
          <t>Research &amp; Development</t>
        </is>
      </c>
      <c r="C111" t="inlineStr">
        <is>
          <t>Manufacturing Director</t>
        </is>
      </c>
      <c r="D111" t="inlineStr">
        <is>
          <t>Yes</t>
        </is>
      </c>
      <c r="E111" s="8" t="n">
        <v>5980</v>
      </c>
      <c r="F111" s="8">
        <f>E111*Assumptions!$B$7</f>
        <v/>
      </c>
      <c r="G111" s="9" t="n">
        <v>0.2031</v>
      </c>
      <c r="H111" t="inlineStr">
        <is>
          <t>Low</t>
        </is>
      </c>
      <c r="I111">
        <f>IF(G111&gt;=Assumptions!$B$4,"Yes","No")</f>
        <v/>
      </c>
      <c r="J111" s="8">
        <f>F111*Assumptions!$B$6</f>
        <v/>
      </c>
      <c r="K111" s="10">
        <f>G111*J111</f>
        <v/>
      </c>
      <c r="L111" s="10">
        <f>IF(I111="Yes",G111*Assumptions!$B$5*J111,0)</f>
        <v/>
      </c>
    </row>
    <row r="112">
      <c r="A112" t="n">
        <v>451</v>
      </c>
      <c r="B112" t="inlineStr">
        <is>
          <t>Research &amp; Development</t>
        </is>
      </c>
      <c r="C112" t="inlineStr">
        <is>
          <t>Healthcare Representative</t>
        </is>
      </c>
      <c r="D112" t="inlineStr">
        <is>
          <t>No</t>
        </is>
      </c>
      <c r="E112" s="8" t="n">
        <v>9985</v>
      </c>
      <c r="F112" s="8">
        <f>E112*Assumptions!$B$7</f>
        <v/>
      </c>
      <c r="G112" s="9" t="n">
        <v>0.2023</v>
      </c>
      <c r="H112" t="inlineStr">
        <is>
          <t>Low</t>
        </is>
      </c>
      <c r="I112">
        <f>IF(G112&gt;=Assumptions!$B$4,"Yes","No")</f>
        <v/>
      </c>
      <c r="J112" s="8">
        <f>F112*Assumptions!$B$6</f>
        <v/>
      </c>
      <c r="K112" s="10">
        <f>G112*J112</f>
        <v/>
      </c>
      <c r="L112" s="10">
        <f>IF(I112="Yes",G112*Assumptions!$B$5*J112,0)</f>
        <v/>
      </c>
    </row>
    <row r="113">
      <c r="A113" t="n">
        <v>645</v>
      </c>
      <c r="B113" t="inlineStr">
        <is>
          <t>Sales</t>
        </is>
      </c>
      <c r="C113" t="inlineStr">
        <is>
          <t>Sales Representative</t>
        </is>
      </c>
      <c r="D113" t="inlineStr">
        <is>
          <t>No</t>
        </is>
      </c>
      <c r="E113" s="8" t="n">
        <v>2096</v>
      </c>
      <c r="F113" s="8">
        <f>E113*Assumptions!$B$7</f>
        <v/>
      </c>
      <c r="G113" s="9" t="n">
        <v>0.2015</v>
      </c>
      <c r="H113" t="inlineStr">
        <is>
          <t>Low</t>
        </is>
      </c>
      <c r="I113">
        <f>IF(G113&gt;=Assumptions!$B$4,"Yes","No")</f>
        <v/>
      </c>
      <c r="J113" s="8">
        <f>F113*Assumptions!$B$6</f>
        <v/>
      </c>
      <c r="K113" s="10">
        <f>G113*J113</f>
        <v/>
      </c>
      <c r="L113" s="10">
        <f>IF(I113="Yes",G113*Assumptions!$B$5*J113,0)</f>
        <v/>
      </c>
    </row>
    <row r="114">
      <c r="A114" t="n">
        <v>868</v>
      </c>
      <c r="B114" t="inlineStr">
        <is>
          <t>Sales</t>
        </is>
      </c>
      <c r="C114" t="inlineStr">
        <is>
          <t>Sales Executive</t>
        </is>
      </c>
      <c r="D114" t="inlineStr">
        <is>
          <t>No</t>
        </is>
      </c>
      <c r="E114" s="8" t="n">
        <v>6334</v>
      </c>
      <c r="F114" s="8">
        <f>E114*Assumptions!$B$7</f>
        <v/>
      </c>
      <c r="G114" s="9" t="n">
        <v>0.1999</v>
      </c>
      <c r="H114" t="inlineStr">
        <is>
          <t>Low</t>
        </is>
      </c>
      <c r="I114">
        <f>IF(G114&gt;=Assumptions!$B$4,"Yes","No")</f>
        <v/>
      </c>
      <c r="J114" s="8">
        <f>F114*Assumptions!$B$6</f>
        <v/>
      </c>
      <c r="K114" s="10">
        <f>G114*J114</f>
        <v/>
      </c>
      <c r="L114" s="10">
        <f>IF(I114="Yes",G114*Assumptions!$B$5*J114,0)</f>
        <v/>
      </c>
    </row>
    <row r="115">
      <c r="A115" t="n">
        <v>1762</v>
      </c>
      <c r="B115" t="inlineStr">
        <is>
          <t>Research &amp; Development</t>
        </is>
      </c>
      <c r="C115" t="inlineStr">
        <is>
          <t>Research Scientist</t>
        </is>
      </c>
      <c r="D115" t="inlineStr">
        <is>
          <t>No</t>
        </is>
      </c>
      <c r="E115" s="8" t="n">
        <v>2109</v>
      </c>
      <c r="F115" s="8">
        <f>E115*Assumptions!$B$7</f>
        <v/>
      </c>
      <c r="G115" s="9" t="n">
        <v>0.1999</v>
      </c>
      <c r="H115" t="inlineStr">
        <is>
          <t>Low</t>
        </is>
      </c>
      <c r="I115">
        <f>IF(G115&gt;=Assumptions!$B$4,"Yes","No")</f>
        <v/>
      </c>
      <c r="J115" s="8">
        <f>F115*Assumptions!$B$6</f>
        <v/>
      </c>
      <c r="K115" s="10">
        <f>G115*J115</f>
        <v/>
      </c>
      <c r="L115" s="10">
        <f>IF(I115="Yes",G115*Assumptions!$B$5*J115,0)</f>
        <v/>
      </c>
    </row>
    <row r="116">
      <c r="A116" t="n">
        <v>2040</v>
      </c>
      <c r="B116" t="inlineStr">
        <is>
          <t>Human Resources</t>
        </is>
      </c>
      <c r="C116" t="inlineStr">
        <is>
          <t>Human Resources</t>
        </is>
      </c>
      <c r="D116" t="inlineStr">
        <is>
          <t>Yes</t>
        </is>
      </c>
      <c r="E116" s="8" t="n">
        <v>8837</v>
      </c>
      <c r="F116" s="8">
        <f>E116*Assumptions!$B$7</f>
        <v/>
      </c>
      <c r="G116" s="9" t="n">
        <v>0.1988</v>
      </c>
      <c r="H116" t="inlineStr">
        <is>
          <t>Low</t>
        </is>
      </c>
      <c r="I116">
        <f>IF(G116&gt;=Assumptions!$B$4,"Yes","No")</f>
        <v/>
      </c>
      <c r="J116" s="8">
        <f>F116*Assumptions!$B$6</f>
        <v/>
      </c>
      <c r="K116" s="10">
        <f>G116*J116</f>
        <v/>
      </c>
      <c r="L116" s="10">
        <f>IF(I116="Yes",G116*Assumptions!$B$5*J116,0)</f>
        <v/>
      </c>
    </row>
    <row r="117">
      <c r="A117" t="n">
        <v>925</v>
      </c>
      <c r="B117" t="inlineStr">
        <is>
          <t>Sales</t>
        </is>
      </c>
      <c r="C117" t="inlineStr">
        <is>
          <t>Sales Representative</t>
        </is>
      </c>
      <c r="D117" t="inlineStr">
        <is>
          <t>Yes</t>
        </is>
      </c>
      <c r="E117" s="8" t="n">
        <v>3294</v>
      </c>
      <c r="F117" s="8">
        <f>E117*Assumptions!$B$7</f>
        <v/>
      </c>
      <c r="G117" s="9" t="n">
        <v>0.1986</v>
      </c>
      <c r="H117" t="inlineStr">
        <is>
          <t>Low</t>
        </is>
      </c>
      <c r="I117">
        <f>IF(G117&gt;=Assumptions!$B$4,"Yes","No")</f>
        <v/>
      </c>
      <c r="J117" s="8">
        <f>F117*Assumptions!$B$6</f>
        <v/>
      </c>
      <c r="K117" s="10">
        <f>G117*J117</f>
        <v/>
      </c>
      <c r="L117" s="10">
        <f>IF(I117="Yes",G117*Assumptions!$B$5*J117,0)</f>
        <v/>
      </c>
    </row>
    <row r="118">
      <c r="A118" t="n">
        <v>652</v>
      </c>
      <c r="B118" t="inlineStr">
        <is>
          <t>Research &amp; Development</t>
        </is>
      </c>
      <c r="C118" t="inlineStr">
        <is>
          <t>Laboratory Technician</t>
        </is>
      </c>
      <c r="D118" t="inlineStr">
        <is>
          <t>No</t>
        </is>
      </c>
      <c r="E118" s="8" t="n">
        <v>3681</v>
      </c>
      <c r="F118" s="8">
        <f>E118*Assumptions!$B$7</f>
        <v/>
      </c>
      <c r="G118" s="9" t="n">
        <v>0.1975</v>
      </c>
      <c r="H118" t="inlineStr">
        <is>
          <t>Low</t>
        </is>
      </c>
      <c r="I118">
        <f>IF(G118&gt;=Assumptions!$B$4,"Yes","No")</f>
        <v/>
      </c>
      <c r="J118" s="8">
        <f>F118*Assumptions!$B$6</f>
        <v/>
      </c>
      <c r="K118" s="10">
        <f>G118*J118</f>
        <v/>
      </c>
      <c r="L118" s="10">
        <f>IF(I118="Yes",G118*Assumptions!$B$5*J118,0)</f>
        <v/>
      </c>
    </row>
    <row r="119">
      <c r="A119" t="n">
        <v>1654</v>
      </c>
      <c r="B119" t="inlineStr">
        <is>
          <t>Research &amp; Development</t>
        </is>
      </c>
      <c r="C119" t="inlineStr">
        <is>
          <t>Manufacturing Director</t>
        </is>
      </c>
      <c r="D119" t="inlineStr">
        <is>
          <t>No</t>
        </is>
      </c>
      <c r="E119" s="8" t="n">
        <v>5295</v>
      </c>
      <c r="F119" s="8">
        <f>E119*Assumptions!$B$7</f>
        <v/>
      </c>
      <c r="G119" s="9" t="n">
        <v>0.1973</v>
      </c>
      <c r="H119" t="inlineStr">
        <is>
          <t>Low</t>
        </is>
      </c>
      <c r="I119">
        <f>IF(G119&gt;=Assumptions!$B$4,"Yes","No")</f>
        <v/>
      </c>
      <c r="J119" s="8">
        <f>F119*Assumptions!$B$6</f>
        <v/>
      </c>
      <c r="K119" s="10">
        <f>G119*J119</f>
        <v/>
      </c>
      <c r="L119" s="10">
        <f>IF(I119="Yes",G119*Assumptions!$B$5*J119,0)</f>
        <v/>
      </c>
    </row>
    <row r="120">
      <c r="A120" t="n">
        <v>862</v>
      </c>
      <c r="B120" t="inlineStr">
        <is>
          <t>Sales</t>
        </is>
      </c>
      <c r="C120" t="inlineStr">
        <is>
          <t>Sales Executive</t>
        </is>
      </c>
      <c r="D120" t="inlineStr">
        <is>
          <t>Yes</t>
        </is>
      </c>
      <c r="E120" s="8" t="n">
        <v>10934</v>
      </c>
      <c r="F120" s="8">
        <f>E120*Assumptions!$B$7</f>
        <v/>
      </c>
      <c r="G120" s="9" t="n">
        <v>0.197</v>
      </c>
      <c r="H120" t="inlineStr">
        <is>
          <t>Low</t>
        </is>
      </c>
      <c r="I120">
        <f>IF(G120&gt;=Assumptions!$B$4,"Yes","No")</f>
        <v/>
      </c>
      <c r="J120" s="8">
        <f>F120*Assumptions!$B$6</f>
        <v/>
      </c>
      <c r="K120" s="10">
        <f>G120*J120</f>
        <v/>
      </c>
      <c r="L120" s="10">
        <f>IF(I120="Yes",G120*Assumptions!$B$5*J120,0)</f>
        <v/>
      </c>
    </row>
    <row r="121">
      <c r="A121" t="n">
        <v>604</v>
      </c>
      <c r="B121" t="inlineStr">
        <is>
          <t>Sales</t>
        </is>
      </c>
      <c r="C121" t="inlineStr">
        <is>
          <t>Sales Executive</t>
        </is>
      </c>
      <c r="D121" t="inlineStr">
        <is>
          <t>Yes</t>
        </is>
      </c>
      <c r="E121" s="8" t="n">
        <v>6582</v>
      </c>
      <c r="F121" s="8">
        <f>E121*Assumptions!$B$7</f>
        <v/>
      </c>
      <c r="G121" s="9" t="n">
        <v>0.1966</v>
      </c>
      <c r="H121" t="inlineStr">
        <is>
          <t>Low</t>
        </is>
      </c>
      <c r="I121">
        <f>IF(G121&gt;=Assumptions!$B$4,"Yes","No")</f>
        <v/>
      </c>
      <c r="J121" s="8">
        <f>F121*Assumptions!$B$6</f>
        <v/>
      </c>
      <c r="K121" s="10">
        <f>G121*J121</f>
        <v/>
      </c>
      <c r="L121" s="10">
        <f>IF(I121="Yes",G121*Assumptions!$B$5*J121,0)</f>
        <v/>
      </c>
    </row>
    <row r="122">
      <c r="A122" t="n">
        <v>1244</v>
      </c>
      <c r="B122" t="inlineStr">
        <is>
          <t>Research &amp; Development</t>
        </is>
      </c>
      <c r="C122" t="inlineStr">
        <is>
          <t>Research Scientist</t>
        </is>
      </c>
      <c r="D122" t="inlineStr">
        <is>
          <t>Yes</t>
        </is>
      </c>
      <c r="E122" s="8" t="n">
        <v>2235</v>
      </c>
      <c r="F122" s="8">
        <f>E122*Assumptions!$B$7</f>
        <v/>
      </c>
      <c r="G122" s="9" t="n">
        <v>0.1959</v>
      </c>
      <c r="H122" t="inlineStr">
        <is>
          <t>Low</t>
        </is>
      </c>
      <c r="I122">
        <f>IF(G122&gt;=Assumptions!$B$4,"Yes","No")</f>
        <v/>
      </c>
      <c r="J122" s="8">
        <f>F122*Assumptions!$B$6</f>
        <v/>
      </c>
      <c r="K122" s="10">
        <f>G122*J122</f>
        <v/>
      </c>
      <c r="L122" s="10">
        <f>IF(I122="Yes",G122*Assumptions!$B$5*J122,0)</f>
        <v/>
      </c>
    </row>
    <row r="123">
      <c r="A123" t="n">
        <v>1492</v>
      </c>
      <c r="B123" t="inlineStr">
        <is>
          <t>Sales</t>
        </is>
      </c>
      <c r="C123" t="inlineStr">
        <is>
          <t>Sales Representative</t>
        </is>
      </c>
      <c r="D123" t="inlineStr">
        <is>
          <t>No</t>
        </is>
      </c>
      <c r="E123" s="8" t="n">
        <v>2404</v>
      </c>
      <c r="F123" s="8">
        <f>E123*Assumptions!$B$7</f>
        <v/>
      </c>
      <c r="G123" s="9" t="n">
        <v>0.1929</v>
      </c>
      <c r="H123" t="inlineStr">
        <is>
          <t>Low</t>
        </is>
      </c>
      <c r="I123">
        <f>IF(G123&gt;=Assumptions!$B$4,"Yes","No")</f>
        <v/>
      </c>
      <c r="J123" s="8">
        <f>F123*Assumptions!$B$6</f>
        <v/>
      </c>
      <c r="K123" s="10">
        <f>G123*J123</f>
        <v/>
      </c>
      <c r="L123" s="10">
        <f>IF(I123="Yes",G123*Assumptions!$B$5*J123,0)</f>
        <v/>
      </c>
    </row>
    <row r="124">
      <c r="A124" t="n">
        <v>904</v>
      </c>
      <c r="B124" t="inlineStr">
        <is>
          <t>Sales</t>
        </is>
      </c>
      <c r="C124" t="inlineStr">
        <is>
          <t>Sales Executive</t>
        </is>
      </c>
      <c r="D124" t="inlineStr">
        <is>
          <t>Yes</t>
        </is>
      </c>
      <c r="E124" s="8" t="n">
        <v>7642</v>
      </c>
      <c r="F124" s="8">
        <f>E124*Assumptions!$B$7</f>
        <v/>
      </c>
      <c r="G124" s="9" t="n">
        <v>0.1907</v>
      </c>
      <c r="H124" t="inlineStr">
        <is>
          <t>Low</t>
        </is>
      </c>
      <c r="I124">
        <f>IF(G124&gt;=Assumptions!$B$4,"Yes","No")</f>
        <v/>
      </c>
      <c r="J124" s="8">
        <f>F124*Assumptions!$B$6</f>
        <v/>
      </c>
      <c r="K124" s="10">
        <f>G124*J124</f>
        <v/>
      </c>
      <c r="L124" s="10">
        <f>IF(I124="Yes",G124*Assumptions!$B$5*J124,0)</f>
        <v/>
      </c>
    </row>
    <row r="125">
      <c r="A125" t="n">
        <v>446</v>
      </c>
      <c r="B125" t="inlineStr">
        <is>
          <t>Sales</t>
        </is>
      </c>
      <c r="C125" t="inlineStr">
        <is>
          <t>Sales Executive</t>
        </is>
      </c>
      <c r="D125" t="inlineStr">
        <is>
          <t>No</t>
        </is>
      </c>
      <c r="E125" s="8" t="n">
        <v>4682</v>
      </c>
      <c r="F125" s="8">
        <f>E125*Assumptions!$B$7</f>
        <v/>
      </c>
      <c r="G125" s="9" t="n">
        <v>0.1905</v>
      </c>
      <c r="H125" t="inlineStr">
        <is>
          <t>Low</t>
        </is>
      </c>
      <c r="I125">
        <f>IF(G125&gt;=Assumptions!$B$4,"Yes","No")</f>
        <v/>
      </c>
      <c r="J125" s="8">
        <f>F125*Assumptions!$B$6</f>
        <v/>
      </c>
      <c r="K125" s="10">
        <f>G125*J125</f>
        <v/>
      </c>
      <c r="L125" s="10">
        <f>IF(I125="Yes",G125*Assumptions!$B$5*J125,0)</f>
        <v/>
      </c>
    </row>
    <row r="126">
      <c r="A126" t="n">
        <v>183</v>
      </c>
      <c r="B126" t="inlineStr">
        <is>
          <t>Sales</t>
        </is>
      </c>
      <c r="C126" t="inlineStr">
        <is>
          <t>Sales Executive</t>
        </is>
      </c>
      <c r="D126" t="inlineStr">
        <is>
          <t>No</t>
        </is>
      </c>
      <c r="E126" s="8" t="n">
        <v>8639</v>
      </c>
      <c r="F126" s="8">
        <f>E126*Assumptions!$B$7</f>
        <v/>
      </c>
      <c r="G126" s="9" t="n">
        <v>0.1905</v>
      </c>
      <c r="H126" t="inlineStr">
        <is>
          <t>Low</t>
        </is>
      </c>
      <c r="I126">
        <f>IF(G126&gt;=Assumptions!$B$4,"Yes","No")</f>
        <v/>
      </c>
      <c r="J126" s="8">
        <f>F126*Assumptions!$B$6</f>
        <v/>
      </c>
      <c r="K126" s="10">
        <f>G126*J126</f>
        <v/>
      </c>
      <c r="L126" s="10">
        <f>IF(I126="Yes",G126*Assumptions!$B$5*J126,0)</f>
        <v/>
      </c>
    </row>
    <row r="127">
      <c r="A127" t="n">
        <v>1154</v>
      </c>
      <c r="B127" t="inlineStr">
        <is>
          <t>Research &amp; Development</t>
        </is>
      </c>
      <c r="C127" t="inlineStr">
        <is>
          <t>Research Scientist</t>
        </is>
      </c>
      <c r="D127" t="inlineStr">
        <is>
          <t>Yes</t>
        </is>
      </c>
      <c r="E127" s="8" t="n">
        <v>2703</v>
      </c>
      <c r="F127" s="8">
        <f>E127*Assumptions!$B$7</f>
        <v/>
      </c>
      <c r="G127" s="9" t="n">
        <v>0.1861</v>
      </c>
      <c r="H127" t="inlineStr">
        <is>
          <t>Low</t>
        </is>
      </c>
      <c r="I127">
        <f>IF(G127&gt;=Assumptions!$B$4,"Yes","No")</f>
        <v/>
      </c>
      <c r="J127" s="8">
        <f>F127*Assumptions!$B$6</f>
        <v/>
      </c>
      <c r="K127" s="10">
        <f>G127*J127</f>
        <v/>
      </c>
      <c r="L127" s="10">
        <f>IF(I127="Yes",G127*Assumptions!$B$5*J127,0)</f>
        <v/>
      </c>
    </row>
    <row r="128">
      <c r="A128" t="n">
        <v>792</v>
      </c>
      <c r="B128" t="inlineStr">
        <is>
          <t>Research &amp; Development</t>
        </is>
      </c>
      <c r="C128" t="inlineStr">
        <is>
          <t>Laboratory Technician</t>
        </is>
      </c>
      <c r="D128" t="inlineStr">
        <is>
          <t>No</t>
        </is>
      </c>
      <c r="E128" s="8" t="n">
        <v>4364</v>
      </c>
      <c r="F128" s="8">
        <f>E128*Assumptions!$B$7</f>
        <v/>
      </c>
      <c r="G128" s="9" t="n">
        <v>0.1857</v>
      </c>
      <c r="H128" t="inlineStr">
        <is>
          <t>Low</t>
        </is>
      </c>
      <c r="I128">
        <f>IF(G128&gt;=Assumptions!$B$4,"Yes","No")</f>
        <v/>
      </c>
      <c r="J128" s="8">
        <f>F128*Assumptions!$B$6</f>
        <v/>
      </c>
      <c r="K128" s="10">
        <f>G128*J128</f>
        <v/>
      </c>
      <c r="L128" s="10">
        <f>IF(I128="Yes",G128*Assumptions!$B$5*J128,0)</f>
        <v/>
      </c>
    </row>
    <row r="129">
      <c r="A129" t="n">
        <v>1605</v>
      </c>
      <c r="B129" t="inlineStr">
        <is>
          <t>Research &amp; Development</t>
        </is>
      </c>
      <c r="C129" t="inlineStr">
        <is>
          <t>Research Scientist</t>
        </is>
      </c>
      <c r="D129" t="inlineStr">
        <is>
          <t>Yes</t>
        </is>
      </c>
      <c r="E129" s="8" t="n">
        <v>2814</v>
      </c>
      <c r="F129" s="8">
        <f>E129*Assumptions!$B$7</f>
        <v/>
      </c>
      <c r="G129" s="9" t="n">
        <v>0.1851</v>
      </c>
      <c r="H129" t="inlineStr">
        <is>
          <t>Low</t>
        </is>
      </c>
      <c r="I129">
        <f>IF(G129&gt;=Assumptions!$B$4,"Yes","No")</f>
        <v/>
      </c>
      <c r="J129" s="8">
        <f>F129*Assumptions!$B$6</f>
        <v/>
      </c>
      <c r="K129" s="10">
        <f>G129*J129</f>
        <v/>
      </c>
      <c r="L129" s="10">
        <f>IF(I129="Yes",G129*Assumptions!$B$5*J129,0)</f>
        <v/>
      </c>
    </row>
    <row r="130">
      <c r="A130" t="n">
        <v>1918</v>
      </c>
      <c r="B130" t="inlineStr">
        <is>
          <t>Research &amp; Development</t>
        </is>
      </c>
      <c r="C130" t="inlineStr">
        <is>
          <t>Laboratory Technician</t>
        </is>
      </c>
      <c r="D130" t="inlineStr">
        <is>
          <t>No</t>
        </is>
      </c>
      <c r="E130" s="8" t="n">
        <v>2544</v>
      </c>
      <c r="F130" s="8">
        <f>E130*Assumptions!$B$7</f>
        <v/>
      </c>
      <c r="G130" s="9" t="n">
        <v>0.1821</v>
      </c>
      <c r="H130" t="inlineStr">
        <is>
          <t>Low</t>
        </is>
      </c>
      <c r="I130">
        <f>IF(G130&gt;=Assumptions!$B$4,"Yes","No")</f>
        <v/>
      </c>
      <c r="J130" s="8">
        <f>F130*Assumptions!$B$6</f>
        <v/>
      </c>
      <c r="K130" s="10">
        <f>G130*J130</f>
        <v/>
      </c>
      <c r="L130" s="10">
        <f>IF(I130="Yes",G130*Assumptions!$B$5*J130,0)</f>
        <v/>
      </c>
    </row>
    <row r="131">
      <c r="A131" t="n">
        <v>527</v>
      </c>
      <c r="B131" t="inlineStr">
        <is>
          <t>Sales</t>
        </is>
      </c>
      <c r="C131" t="inlineStr">
        <is>
          <t>Sales Executive</t>
        </is>
      </c>
      <c r="D131" t="inlineStr">
        <is>
          <t>Yes</t>
        </is>
      </c>
      <c r="E131" s="8" t="n">
        <v>4487</v>
      </c>
      <c r="F131" s="8">
        <f>E131*Assumptions!$B$7</f>
        <v/>
      </c>
      <c r="G131" s="9" t="n">
        <v>0.1817</v>
      </c>
      <c r="H131" t="inlineStr">
        <is>
          <t>Low</t>
        </is>
      </c>
      <c r="I131">
        <f>IF(G131&gt;=Assumptions!$B$4,"Yes","No")</f>
        <v/>
      </c>
      <c r="J131" s="8">
        <f>F131*Assumptions!$B$6</f>
        <v/>
      </c>
      <c r="K131" s="10">
        <f>G131*J131</f>
        <v/>
      </c>
      <c r="L131" s="10">
        <f>IF(I131="Yes",G131*Assumptions!$B$5*J131,0)</f>
        <v/>
      </c>
    </row>
    <row r="132">
      <c r="A132" t="n">
        <v>1049</v>
      </c>
      <c r="B132" t="inlineStr">
        <is>
          <t>Human Resources</t>
        </is>
      </c>
      <c r="C132" t="inlineStr">
        <is>
          <t>Human Resources</t>
        </is>
      </c>
      <c r="D132" t="inlineStr">
        <is>
          <t>No</t>
        </is>
      </c>
      <c r="E132" s="8" t="n">
        <v>2177</v>
      </c>
      <c r="F132" s="8">
        <f>E132*Assumptions!$B$7</f>
        <v/>
      </c>
      <c r="G132" s="9" t="n">
        <v>0.1816</v>
      </c>
      <c r="H132" t="inlineStr">
        <is>
          <t>Low</t>
        </is>
      </c>
      <c r="I132">
        <f>IF(G132&gt;=Assumptions!$B$4,"Yes","No")</f>
        <v/>
      </c>
      <c r="J132" s="8">
        <f>F132*Assumptions!$B$6</f>
        <v/>
      </c>
      <c r="K132" s="10">
        <f>G132*J132</f>
        <v/>
      </c>
      <c r="L132" s="10">
        <f>IF(I132="Yes",G132*Assumptions!$B$5*J132,0)</f>
        <v/>
      </c>
    </row>
    <row r="133">
      <c r="A133" t="n">
        <v>1681</v>
      </c>
      <c r="B133" t="inlineStr">
        <is>
          <t>Sales</t>
        </is>
      </c>
      <c r="C133" t="inlineStr">
        <is>
          <t>Sales Executive</t>
        </is>
      </c>
      <c r="D133" t="inlineStr">
        <is>
          <t>Yes</t>
        </is>
      </c>
      <c r="E133" s="8" t="n">
        <v>5368</v>
      </c>
      <c r="F133" s="8">
        <f>E133*Assumptions!$B$7</f>
        <v/>
      </c>
      <c r="G133" s="9" t="n">
        <v>0.1808</v>
      </c>
      <c r="H133" t="inlineStr">
        <is>
          <t>Low</t>
        </is>
      </c>
      <c r="I133">
        <f>IF(G133&gt;=Assumptions!$B$4,"Yes","No")</f>
        <v/>
      </c>
      <c r="J133" s="8">
        <f>F133*Assumptions!$B$6</f>
        <v/>
      </c>
      <c r="K133" s="10">
        <f>G133*J133</f>
        <v/>
      </c>
      <c r="L133" s="10">
        <f>IF(I133="Yes",G133*Assumptions!$B$5*J133,0)</f>
        <v/>
      </c>
    </row>
    <row r="134">
      <c r="A134" t="n">
        <v>1659</v>
      </c>
      <c r="B134" t="inlineStr">
        <is>
          <t>Research &amp; Development</t>
        </is>
      </c>
      <c r="C134" t="inlineStr">
        <is>
          <t>Laboratory Technician</t>
        </is>
      </c>
      <c r="D134" t="inlineStr">
        <is>
          <t>No</t>
        </is>
      </c>
      <c r="E134" s="8" t="n">
        <v>2013</v>
      </c>
      <c r="F134" s="8">
        <f>E134*Assumptions!$B$7</f>
        <v/>
      </c>
      <c r="G134" s="9" t="n">
        <v>0.1807</v>
      </c>
      <c r="H134" t="inlineStr">
        <is>
          <t>Low</t>
        </is>
      </c>
      <c r="I134">
        <f>IF(G134&gt;=Assumptions!$B$4,"Yes","No")</f>
        <v/>
      </c>
      <c r="J134" s="8">
        <f>F134*Assumptions!$B$6</f>
        <v/>
      </c>
      <c r="K134" s="10">
        <f>G134*J134</f>
        <v/>
      </c>
      <c r="L134" s="10">
        <f>IF(I134="Yes",G134*Assumptions!$B$5*J134,0)</f>
        <v/>
      </c>
    </row>
    <row r="135">
      <c r="A135" t="n">
        <v>1853</v>
      </c>
      <c r="B135" t="inlineStr">
        <is>
          <t>Sales</t>
        </is>
      </c>
      <c r="C135" t="inlineStr">
        <is>
          <t>Sales Executive</t>
        </is>
      </c>
      <c r="D135" t="inlineStr">
        <is>
          <t>No</t>
        </is>
      </c>
      <c r="E135" s="8" t="n">
        <v>4648</v>
      </c>
      <c r="F135" s="8">
        <f>E135*Assumptions!$B$7</f>
        <v/>
      </c>
      <c r="G135" s="9" t="n">
        <v>0.1796</v>
      </c>
      <c r="H135" t="inlineStr">
        <is>
          <t>Low</t>
        </is>
      </c>
      <c r="I135">
        <f>IF(G135&gt;=Assumptions!$B$4,"Yes","No")</f>
        <v/>
      </c>
      <c r="J135" s="8">
        <f>F135*Assumptions!$B$6</f>
        <v/>
      </c>
      <c r="K135" s="10">
        <f>G135*J135</f>
        <v/>
      </c>
      <c r="L135" s="10">
        <f>IF(I135="Yes",G135*Assumptions!$B$5*J135,0)</f>
        <v/>
      </c>
    </row>
    <row r="136">
      <c r="A136" t="n">
        <v>1453</v>
      </c>
      <c r="B136" t="inlineStr">
        <is>
          <t>Sales</t>
        </is>
      </c>
      <c r="C136" t="inlineStr">
        <is>
          <t>Sales Executive</t>
        </is>
      </c>
      <c r="D136" t="inlineStr">
        <is>
          <t>No</t>
        </is>
      </c>
      <c r="E136" s="8" t="n">
        <v>10793</v>
      </c>
      <c r="F136" s="8">
        <f>E136*Assumptions!$B$7</f>
        <v/>
      </c>
      <c r="G136" s="9" t="n">
        <v>0.1785</v>
      </c>
      <c r="H136" t="inlineStr">
        <is>
          <t>Low</t>
        </is>
      </c>
      <c r="I136">
        <f>IF(G136&gt;=Assumptions!$B$4,"Yes","No")</f>
        <v/>
      </c>
      <c r="J136" s="8">
        <f>F136*Assumptions!$B$6</f>
        <v/>
      </c>
      <c r="K136" s="10">
        <f>G136*J136</f>
        <v/>
      </c>
      <c r="L136" s="10">
        <f>IF(I136="Yes",G136*Assumptions!$B$5*J136,0)</f>
        <v/>
      </c>
    </row>
    <row r="137">
      <c r="A137" t="n">
        <v>1001</v>
      </c>
      <c r="B137" t="inlineStr">
        <is>
          <t>Research &amp; Development</t>
        </is>
      </c>
      <c r="C137" t="inlineStr">
        <is>
          <t>Laboratory Technician</t>
        </is>
      </c>
      <c r="D137" t="inlineStr">
        <is>
          <t>No</t>
        </is>
      </c>
      <c r="E137" s="8" t="n">
        <v>2811</v>
      </c>
      <c r="F137" s="8">
        <f>E137*Assumptions!$B$7</f>
        <v/>
      </c>
      <c r="G137" s="9" t="n">
        <v>0.1778</v>
      </c>
      <c r="H137" t="inlineStr">
        <is>
          <t>Low</t>
        </is>
      </c>
      <c r="I137">
        <f>IF(G137&gt;=Assumptions!$B$4,"Yes","No")</f>
        <v/>
      </c>
      <c r="J137" s="8">
        <f>F137*Assumptions!$B$6</f>
        <v/>
      </c>
      <c r="K137" s="10">
        <f>G137*J137</f>
        <v/>
      </c>
      <c r="L137" s="10">
        <f>IF(I137="Yes",G137*Assumptions!$B$5*J137,0)</f>
        <v/>
      </c>
    </row>
    <row r="138">
      <c r="A138" t="n">
        <v>1577</v>
      </c>
      <c r="B138" t="inlineStr">
        <is>
          <t>Research &amp; Development</t>
        </is>
      </c>
      <c r="C138" t="inlineStr">
        <is>
          <t>Research Scientist</t>
        </is>
      </c>
      <c r="D138" t="inlineStr">
        <is>
          <t>No</t>
        </is>
      </c>
      <c r="E138" s="8" t="n">
        <v>2972</v>
      </c>
      <c r="F138" s="8">
        <f>E138*Assumptions!$B$7</f>
        <v/>
      </c>
      <c r="G138" s="9" t="n">
        <v>0.1775</v>
      </c>
      <c r="H138" t="inlineStr">
        <is>
          <t>Low</t>
        </is>
      </c>
      <c r="I138">
        <f>IF(G138&gt;=Assumptions!$B$4,"Yes","No")</f>
        <v/>
      </c>
      <c r="J138" s="8">
        <f>F138*Assumptions!$B$6</f>
        <v/>
      </c>
      <c r="K138" s="10">
        <f>G138*J138</f>
        <v/>
      </c>
      <c r="L138" s="10">
        <f>IF(I138="Yes",G138*Assumptions!$B$5*J138,0)</f>
        <v/>
      </c>
    </row>
    <row r="139">
      <c r="A139" t="n">
        <v>1502</v>
      </c>
      <c r="B139" t="inlineStr">
        <is>
          <t>Research &amp; Development</t>
        </is>
      </c>
      <c r="C139" t="inlineStr">
        <is>
          <t>Laboratory Technician</t>
        </is>
      </c>
      <c r="D139" t="inlineStr">
        <is>
          <t>No</t>
        </is>
      </c>
      <c r="E139" s="8" t="n">
        <v>3838</v>
      </c>
      <c r="F139" s="8">
        <f>E139*Assumptions!$B$7</f>
        <v/>
      </c>
      <c r="G139" s="9" t="n">
        <v>0.1772</v>
      </c>
      <c r="H139" t="inlineStr">
        <is>
          <t>Low</t>
        </is>
      </c>
      <c r="I139">
        <f>IF(G139&gt;=Assumptions!$B$4,"Yes","No")</f>
        <v/>
      </c>
      <c r="J139" s="8">
        <f>F139*Assumptions!$B$6</f>
        <v/>
      </c>
      <c r="K139" s="10">
        <f>G139*J139</f>
        <v/>
      </c>
      <c r="L139" s="10">
        <f>IF(I139="Yes",G139*Assumptions!$B$5*J139,0)</f>
        <v/>
      </c>
    </row>
    <row r="140">
      <c r="A140" t="n">
        <v>1136</v>
      </c>
      <c r="B140" t="inlineStr">
        <is>
          <t>Research &amp; Development</t>
        </is>
      </c>
      <c r="C140" t="inlineStr">
        <is>
          <t>Research Scientist</t>
        </is>
      </c>
      <c r="D140" t="inlineStr">
        <is>
          <t>No</t>
        </is>
      </c>
      <c r="E140" s="8" t="n">
        <v>3201</v>
      </c>
      <c r="F140" s="8">
        <f>E140*Assumptions!$B$7</f>
        <v/>
      </c>
      <c r="G140" s="9" t="n">
        <v>0.1767</v>
      </c>
      <c r="H140" t="inlineStr">
        <is>
          <t>Low</t>
        </is>
      </c>
      <c r="I140">
        <f>IF(G140&gt;=Assumptions!$B$4,"Yes","No")</f>
        <v/>
      </c>
      <c r="J140" s="8">
        <f>F140*Assumptions!$B$6</f>
        <v/>
      </c>
      <c r="K140" s="10">
        <f>G140*J140</f>
        <v/>
      </c>
      <c r="L140" s="10">
        <f>IF(I140="Yes",G140*Assumptions!$B$5*J140,0)</f>
        <v/>
      </c>
    </row>
    <row r="141">
      <c r="A141" t="n">
        <v>591</v>
      </c>
      <c r="B141" t="inlineStr">
        <is>
          <t>Research &amp; Development</t>
        </is>
      </c>
      <c r="C141" t="inlineStr">
        <is>
          <t>Laboratory Technician</t>
        </is>
      </c>
      <c r="D141" t="inlineStr">
        <is>
          <t>No</t>
        </is>
      </c>
      <c r="E141" s="8" t="n">
        <v>2093</v>
      </c>
      <c r="F141" s="8">
        <f>E141*Assumptions!$B$7</f>
        <v/>
      </c>
      <c r="G141" s="9" t="n">
        <v>0.1747</v>
      </c>
      <c r="H141" t="inlineStr">
        <is>
          <t>Low</t>
        </is>
      </c>
      <c r="I141">
        <f>IF(G141&gt;=Assumptions!$B$4,"Yes","No")</f>
        <v/>
      </c>
      <c r="J141" s="8">
        <f>F141*Assumptions!$B$6</f>
        <v/>
      </c>
      <c r="K141" s="10">
        <f>G141*J141</f>
        <v/>
      </c>
      <c r="L141" s="10">
        <f>IF(I141="Yes",G141*Assumptions!$B$5*J141,0)</f>
        <v/>
      </c>
    </row>
    <row r="142">
      <c r="A142" t="n">
        <v>79</v>
      </c>
      <c r="B142" t="inlineStr">
        <is>
          <t>Research &amp; Development</t>
        </is>
      </c>
      <c r="C142" t="inlineStr">
        <is>
          <t>Laboratory Technician</t>
        </is>
      </c>
      <c r="D142" t="inlineStr">
        <is>
          <t>No</t>
        </is>
      </c>
      <c r="E142" s="8" t="n">
        <v>2406</v>
      </c>
      <c r="F142" s="8">
        <f>E142*Assumptions!$B$7</f>
        <v/>
      </c>
      <c r="G142" s="9" t="n">
        <v>0.1746</v>
      </c>
      <c r="H142" t="inlineStr">
        <is>
          <t>Low</t>
        </is>
      </c>
      <c r="I142">
        <f>IF(G142&gt;=Assumptions!$B$4,"Yes","No")</f>
        <v/>
      </c>
      <c r="J142" s="8">
        <f>F142*Assumptions!$B$6</f>
        <v/>
      </c>
      <c r="K142" s="10">
        <f>G142*J142</f>
        <v/>
      </c>
      <c r="L142" s="10">
        <f>IF(I142="Yes",G142*Assumptions!$B$5*J142,0)</f>
        <v/>
      </c>
    </row>
    <row r="143">
      <c r="A143" t="n">
        <v>2019</v>
      </c>
      <c r="B143" t="inlineStr">
        <is>
          <t>Sales</t>
        </is>
      </c>
      <c r="C143" t="inlineStr">
        <is>
          <t>Sales Representative</t>
        </is>
      </c>
      <c r="D143" t="inlineStr">
        <is>
          <t>No</t>
        </is>
      </c>
      <c r="E143" s="8" t="n">
        <v>3482</v>
      </c>
      <c r="F143" s="8">
        <f>E143*Assumptions!$B$7</f>
        <v/>
      </c>
      <c r="G143" s="9" t="n">
        <v>0.1735</v>
      </c>
      <c r="H143" t="inlineStr">
        <is>
          <t>Low</t>
        </is>
      </c>
      <c r="I143">
        <f>IF(G143&gt;=Assumptions!$B$4,"Yes","No")</f>
        <v/>
      </c>
      <c r="J143" s="8">
        <f>F143*Assumptions!$B$6</f>
        <v/>
      </c>
      <c r="K143" s="10">
        <f>G143*J143</f>
        <v/>
      </c>
      <c r="L143" s="10">
        <f>IF(I143="Yes",G143*Assumptions!$B$5*J143,0)</f>
        <v/>
      </c>
    </row>
    <row r="144">
      <c r="A144" t="n">
        <v>602</v>
      </c>
      <c r="B144" t="inlineStr">
        <is>
          <t>Research &amp; Development</t>
        </is>
      </c>
      <c r="C144" t="inlineStr">
        <is>
          <t>Laboratory Technician</t>
        </is>
      </c>
      <c r="D144" t="inlineStr">
        <is>
          <t>No</t>
        </is>
      </c>
      <c r="E144" s="8" t="n">
        <v>3755</v>
      </c>
      <c r="F144" s="8">
        <f>E144*Assumptions!$B$7</f>
        <v/>
      </c>
      <c r="G144" s="9" t="n">
        <v>0.1724</v>
      </c>
      <c r="H144" t="inlineStr">
        <is>
          <t>Low</t>
        </is>
      </c>
      <c r="I144">
        <f>IF(G144&gt;=Assumptions!$B$4,"Yes","No")</f>
        <v/>
      </c>
      <c r="J144" s="8">
        <f>F144*Assumptions!$B$6</f>
        <v/>
      </c>
      <c r="K144" s="10">
        <f>G144*J144</f>
        <v/>
      </c>
      <c r="L144" s="10">
        <f>IF(I144="Yes",G144*Assumptions!$B$5*J144,0)</f>
        <v/>
      </c>
    </row>
    <row r="145">
      <c r="A145" t="n">
        <v>39</v>
      </c>
      <c r="B145" t="inlineStr">
        <is>
          <t>Research &amp; Development</t>
        </is>
      </c>
      <c r="C145" t="inlineStr">
        <is>
          <t>Laboratory Technician</t>
        </is>
      </c>
      <c r="D145" t="inlineStr">
        <is>
          <t>No</t>
        </is>
      </c>
      <c r="E145" s="8" t="n">
        <v>2496</v>
      </c>
      <c r="F145" s="8">
        <f>E145*Assumptions!$B$7</f>
        <v/>
      </c>
      <c r="G145" s="9" t="n">
        <v>0.1718</v>
      </c>
      <c r="H145" t="inlineStr">
        <is>
          <t>Low</t>
        </is>
      </c>
      <c r="I145">
        <f>IF(G145&gt;=Assumptions!$B$4,"Yes","No")</f>
        <v/>
      </c>
      <c r="J145" s="8">
        <f>F145*Assumptions!$B$6</f>
        <v/>
      </c>
      <c r="K145" s="10">
        <f>G145*J145</f>
        <v/>
      </c>
      <c r="L145" s="10">
        <f>IF(I145="Yes",G145*Assumptions!$B$5*J145,0)</f>
        <v/>
      </c>
    </row>
    <row r="146">
      <c r="A146" t="n">
        <v>1234</v>
      </c>
      <c r="B146" t="inlineStr">
        <is>
          <t>Research &amp; Development</t>
        </is>
      </c>
      <c r="C146" t="inlineStr">
        <is>
          <t>Laboratory Technician</t>
        </is>
      </c>
      <c r="D146" t="inlineStr">
        <is>
          <t>No</t>
        </is>
      </c>
      <c r="E146" s="8" t="n">
        <v>2743</v>
      </c>
      <c r="F146" s="8">
        <f>E146*Assumptions!$B$7</f>
        <v/>
      </c>
      <c r="G146" s="9" t="n">
        <v>0.1705</v>
      </c>
      <c r="H146" t="inlineStr">
        <is>
          <t>Low</t>
        </is>
      </c>
      <c r="I146">
        <f>IF(G146&gt;=Assumptions!$B$4,"Yes","No")</f>
        <v/>
      </c>
      <c r="J146" s="8">
        <f>F146*Assumptions!$B$6</f>
        <v/>
      </c>
      <c r="K146" s="10">
        <f>G146*J146</f>
        <v/>
      </c>
      <c r="L146" s="10">
        <f>IF(I146="Yes",G146*Assumptions!$B$5*J146,0)</f>
        <v/>
      </c>
    </row>
    <row r="147">
      <c r="A147" t="n">
        <v>1856</v>
      </c>
      <c r="B147" t="inlineStr">
        <is>
          <t>Research &amp; Development</t>
        </is>
      </c>
      <c r="C147" t="inlineStr">
        <is>
          <t>Laboratory Technician</t>
        </is>
      </c>
      <c r="D147" t="inlineStr">
        <is>
          <t>No</t>
        </is>
      </c>
      <c r="E147" s="8" t="n">
        <v>2105</v>
      </c>
      <c r="F147" s="8">
        <f>E147*Assumptions!$B$7</f>
        <v/>
      </c>
      <c r="G147" s="9" t="n">
        <v>0.1701</v>
      </c>
      <c r="H147" t="inlineStr">
        <is>
          <t>Low</t>
        </is>
      </c>
      <c r="I147">
        <f>IF(G147&gt;=Assumptions!$B$4,"Yes","No")</f>
        <v/>
      </c>
      <c r="J147" s="8">
        <f>F147*Assumptions!$B$6</f>
        <v/>
      </c>
      <c r="K147" s="10">
        <f>G147*J147</f>
        <v/>
      </c>
      <c r="L147" s="10">
        <f>IF(I147="Yes",G147*Assumptions!$B$5*J147,0)</f>
        <v/>
      </c>
    </row>
    <row r="148">
      <c r="A148" t="n">
        <v>746</v>
      </c>
      <c r="B148" t="inlineStr">
        <is>
          <t>Sales</t>
        </is>
      </c>
      <c r="C148" t="inlineStr">
        <is>
          <t>Sales Executive</t>
        </is>
      </c>
      <c r="D148" t="inlineStr">
        <is>
          <t>Yes</t>
        </is>
      </c>
      <c r="E148" s="8" t="n">
        <v>13770</v>
      </c>
      <c r="F148" s="8">
        <f>E148*Assumptions!$B$7</f>
        <v/>
      </c>
      <c r="G148" s="9" t="n">
        <v>0.1682</v>
      </c>
      <c r="H148" t="inlineStr">
        <is>
          <t>Low</t>
        </is>
      </c>
      <c r="I148">
        <f>IF(G148&gt;=Assumptions!$B$4,"Yes","No")</f>
        <v/>
      </c>
      <c r="J148" s="8">
        <f>F148*Assumptions!$B$6</f>
        <v/>
      </c>
      <c r="K148" s="10">
        <f>G148*J148</f>
        <v/>
      </c>
      <c r="L148" s="10">
        <f>IF(I148="Yes",G148*Assumptions!$B$5*J148,0)</f>
        <v/>
      </c>
    </row>
    <row r="149">
      <c r="A149" t="n">
        <v>390</v>
      </c>
      <c r="B149" t="inlineStr">
        <is>
          <t>Research &amp; Development</t>
        </is>
      </c>
      <c r="C149" t="inlineStr">
        <is>
          <t>Healthcare Representative</t>
        </is>
      </c>
      <c r="D149" t="inlineStr">
        <is>
          <t>Yes</t>
        </is>
      </c>
      <c r="E149" s="8" t="n">
        <v>4741</v>
      </c>
      <c r="F149" s="8">
        <f>E149*Assumptions!$B$7</f>
        <v/>
      </c>
      <c r="G149" s="9" t="n">
        <v>0.1682</v>
      </c>
      <c r="H149" t="inlineStr">
        <is>
          <t>Low</t>
        </is>
      </c>
      <c r="I149">
        <f>IF(G149&gt;=Assumptions!$B$4,"Yes","No")</f>
        <v/>
      </c>
      <c r="J149" s="8">
        <f>F149*Assumptions!$B$6</f>
        <v/>
      </c>
      <c r="K149" s="10">
        <f>G149*J149</f>
        <v/>
      </c>
      <c r="L149" s="10">
        <f>IF(I149="Yes",G149*Assumptions!$B$5*J149,0)</f>
        <v/>
      </c>
    </row>
    <row r="150">
      <c r="A150" t="n">
        <v>1297</v>
      </c>
      <c r="B150" t="inlineStr">
        <is>
          <t>Research &amp; Development</t>
        </is>
      </c>
      <c r="C150" t="inlineStr">
        <is>
          <t>Laboratory Technician</t>
        </is>
      </c>
      <c r="D150" t="inlineStr">
        <is>
          <t>No</t>
        </is>
      </c>
      <c r="E150" s="8" t="n">
        <v>2838</v>
      </c>
      <c r="F150" s="8">
        <f>E150*Assumptions!$B$7</f>
        <v/>
      </c>
      <c r="G150" s="9" t="n">
        <v>0.1674</v>
      </c>
      <c r="H150" t="inlineStr">
        <is>
          <t>Low</t>
        </is>
      </c>
      <c r="I150">
        <f>IF(G150&gt;=Assumptions!$B$4,"Yes","No")</f>
        <v/>
      </c>
      <c r="J150" s="8">
        <f>F150*Assumptions!$B$6</f>
        <v/>
      </c>
      <c r="K150" s="10">
        <f>G150*J150</f>
        <v/>
      </c>
      <c r="L150" s="10">
        <f>IF(I150="Yes",G150*Assumptions!$B$5*J150,0)</f>
        <v/>
      </c>
    </row>
    <row r="151">
      <c r="A151" t="n">
        <v>11</v>
      </c>
      <c r="B151" t="inlineStr">
        <is>
          <t>Research &amp; Development</t>
        </is>
      </c>
      <c r="C151" t="inlineStr">
        <is>
          <t>Laboratory Technician</t>
        </is>
      </c>
      <c r="D151" t="inlineStr">
        <is>
          <t>No</t>
        </is>
      </c>
      <c r="E151" s="8" t="n">
        <v>2693</v>
      </c>
      <c r="F151" s="8">
        <f>E151*Assumptions!$B$7</f>
        <v/>
      </c>
      <c r="G151" s="9" t="n">
        <v>0.1647</v>
      </c>
      <c r="H151" t="inlineStr">
        <is>
          <t>Low</t>
        </is>
      </c>
      <c r="I151">
        <f>IF(G151&gt;=Assumptions!$B$4,"Yes","No")</f>
        <v/>
      </c>
      <c r="J151" s="8">
        <f>F151*Assumptions!$B$6</f>
        <v/>
      </c>
      <c r="K151" s="10">
        <f>G151*J151</f>
        <v/>
      </c>
      <c r="L151" s="10">
        <f>IF(I151="Yes",G151*Assumptions!$B$5*J151,0)</f>
        <v/>
      </c>
    </row>
    <row r="152">
      <c r="A152" t="n">
        <v>2060</v>
      </c>
      <c r="B152" t="inlineStr">
        <is>
          <t>Sales</t>
        </is>
      </c>
      <c r="C152" t="inlineStr">
        <is>
          <t>Sales Representative</t>
        </is>
      </c>
      <c r="D152" t="inlineStr">
        <is>
          <t>No</t>
        </is>
      </c>
      <c r="E152" s="8" t="n">
        <v>2966</v>
      </c>
      <c r="F152" s="8">
        <f>E152*Assumptions!$B$7</f>
        <v/>
      </c>
      <c r="G152" s="9" t="n">
        <v>0.1645</v>
      </c>
      <c r="H152" t="inlineStr">
        <is>
          <t>Low</t>
        </is>
      </c>
      <c r="I152">
        <f>IF(G152&gt;=Assumptions!$B$4,"Yes","No")</f>
        <v/>
      </c>
      <c r="J152" s="8">
        <f>F152*Assumptions!$B$6</f>
        <v/>
      </c>
      <c r="K152" s="10">
        <f>G152*J152</f>
        <v/>
      </c>
      <c r="L152" s="10">
        <f>IF(I152="Yes",G152*Assumptions!$B$5*J152,0)</f>
        <v/>
      </c>
    </row>
    <row r="153">
      <c r="A153" t="n">
        <v>396</v>
      </c>
      <c r="B153" t="inlineStr">
        <is>
          <t>Research &amp; Development</t>
        </is>
      </c>
      <c r="C153" t="inlineStr">
        <is>
          <t>Research Director</t>
        </is>
      </c>
      <c r="D153" t="inlineStr">
        <is>
          <t>Yes</t>
        </is>
      </c>
      <c r="E153" s="8" t="n">
        <v>18665</v>
      </c>
      <c r="F153" s="8">
        <f>E153*Assumptions!$B$7</f>
        <v/>
      </c>
      <c r="G153" s="9" t="n">
        <v>0.1626</v>
      </c>
      <c r="H153" t="inlineStr">
        <is>
          <t>Low</t>
        </is>
      </c>
      <c r="I153">
        <f>IF(G153&gt;=Assumptions!$B$4,"Yes","No")</f>
        <v/>
      </c>
      <c r="J153" s="8">
        <f>F153*Assumptions!$B$6</f>
        <v/>
      </c>
      <c r="K153" s="10">
        <f>G153*J153</f>
        <v/>
      </c>
      <c r="L153" s="10">
        <f>IF(I153="Yes",G153*Assumptions!$B$5*J153,0)</f>
        <v/>
      </c>
    </row>
    <row r="154">
      <c r="A154" t="n">
        <v>1929</v>
      </c>
      <c r="B154" t="inlineStr">
        <is>
          <t>Sales</t>
        </is>
      </c>
      <c r="C154" t="inlineStr">
        <is>
          <t>Sales Executive</t>
        </is>
      </c>
      <c r="D154" t="inlineStr">
        <is>
          <t>No</t>
        </is>
      </c>
      <c r="E154" s="8" t="n">
        <v>5736</v>
      </c>
      <c r="F154" s="8">
        <f>E154*Assumptions!$B$7</f>
        <v/>
      </c>
      <c r="G154" s="9" t="n">
        <v>0.162</v>
      </c>
      <c r="H154" t="inlineStr">
        <is>
          <t>Low</t>
        </is>
      </c>
      <c r="I154">
        <f>IF(G154&gt;=Assumptions!$B$4,"Yes","No")</f>
        <v/>
      </c>
      <c r="J154" s="8">
        <f>F154*Assumptions!$B$6</f>
        <v/>
      </c>
      <c r="K154" s="10">
        <f>G154*J154</f>
        <v/>
      </c>
      <c r="L154" s="10">
        <f>IF(I154="Yes",G154*Assumptions!$B$5*J154,0)</f>
        <v/>
      </c>
    </row>
    <row r="155">
      <c r="A155" t="n">
        <v>1368</v>
      </c>
      <c r="B155" t="inlineStr">
        <is>
          <t>Research &amp; Development</t>
        </is>
      </c>
      <c r="C155" t="inlineStr">
        <is>
          <t>Laboratory Technician</t>
        </is>
      </c>
      <c r="D155" t="inlineStr">
        <is>
          <t>No</t>
        </is>
      </c>
      <c r="E155" s="8" t="n">
        <v>1611</v>
      </c>
      <c r="F155" s="8">
        <f>E155*Assumptions!$B$7</f>
        <v/>
      </c>
      <c r="G155" s="9" t="n">
        <v>0.1609</v>
      </c>
      <c r="H155" t="inlineStr">
        <is>
          <t>Low</t>
        </is>
      </c>
      <c r="I155">
        <f>IF(G155&gt;=Assumptions!$B$4,"Yes","No")</f>
        <v/>
      </c>
      <c r="J155" s="8">
        <f>F155*Assumptions!$B$6</f>
        <v/>
      </c>
      <c r="K155" s="10">
        <f>G155*J155</f>
        <v/>
      </c>
      <c r="L155" s="10">
        <f>IF(I155="Yes",G155*Assumptions!$B$5*J155,0)</f>
        <v/>
      </c>
    </row>
    <row r="156">
      <c r="A156" t="n">
        <v>2020</v>
      </c>
      <c r="B156" t="inlineStr">
        <is>
          <t>Research &amp; Development</t>
        </is>
      </c>
      <c r="C156" t="inlineStr">
        <is>
          <t>Research Scientist</t>
        </is>
      </c>
      <c r="D156" t="inlineStr">
        <is>
          <t>Yes</t>
        </is>
      </c>
      <c r="E156" s="8" t="n">
        <v>2436</v>
      </c>
      <c r="F156" s="8">
        <f>E156*Assumptions!$B$7</f>
        <v/>
      </c>
      <c r="G156" s="9" t="n">
        <v>0.1593</v>
      </c>
      <c r="H156" t="inlineStr">
        <is>
          <t>Low</t>
        </is>
      </c>
      <c r="I156">
        <f>IF(G156&gt;=Assumptions!$B$4,"Yes","No")</f>
        <v/>
      </c>
      <c r="J156" s="8">
        <f>F156*Assumptions!$B$6</f>
        <v/>
      </c>
      <c r="K156" s="10">
        <f>G156*J156</f>
        <v/>
      </c>
      <c r="L156" s="10">
        <f>IF(I156="Yes",G156*Assumptions!$B$5*J156,0)</f>
        <v/>
      </c>
    </row>
    <row r="157">
      <c r="A157" t="n">
        <v>277</v>
      </c>
      <c r="B157" t="inlineStr">
        <is>
          <t>Research &amp; Development</t>
        </is>
      </c>
      <c r="C157" t="inlineStr">
        <is>
          <t>Research Scientist</t>
        </is>
      </c>
      <c r="D157" t="inlineStr">
        <is>
          <t>Yes</t>
        </is>
      </c>
      <c r="E157" s="8" t="n">
        <v>3815</v>
      </c>
      <c r="F157" s="8">
        <f>E157*Assumptions!$B$7</f>
        <v/>
      </c>
      <c r="G157" s="9" t="n">
        <v>0.159</v>
      </c>
      <c r="H157" t="inlineStr">
        <is>
          <t>Low</t>
        </is>
      </c>
      <c r="I157">
        <f>IF(G157&gt;=Assumptions!$B$4,"Yes","No")</f>
        <v/>
      </c>
      <c r="J157" s="8">
        <f>F157*Assumptions!$B$6</f>
        <v/>
      </c>
      <c r="K157" s="10">
        <f>G157*J157</f>
        <v/>
      </c>
      <c r="L157" s="10">
        <f>IF(I157="Yes",G157*Assumptions!$B$5*J157,0)</f>
        <v/>
      </c>
    </row>
    <row r="158">
      <c r="A158" t="n">
        <v>549</v>
      </c>
      <c r="B158" t="inlineStr">
        <is>
          <t>Research &amp; Development</t>
        </is>
      </c>
      <c r="C158" t="inlineStr">
        <is>
          <t>Manager</t>
        </is>
      </c>
      <c r="D158" t="inlineStr">
        <is>
          <t>No</t>
        </is>
      </c>
      <c r="E158" s="8" t="n">
        <v>19566</v>
      </c>
      <c r="F158" s="8">
        <f>E158*Assumptions!$B$7</f>
        <v/>
      </c>
      <c r="G158" s="9" t="n">
        <v>0.1588</v>
      </c>
      <c r="H158" t="inlineStr">
        <is>
          <t>Low</t>
        </is>
      </c>
      <c r="I158">
        <f>IF(G158&gt;=Assumptions!$B$4,"Yes","No")</f>
        <v/>
      </c>
      <c r="J158" s="8">
        <f>F158*Assumptions!$B$6</f>
        <v/>
      </c>
      <c r="K158" s="10">
        <f>G158*J158</f>
        <v/>
      </c>
      <c r="L158" s="10">
        <f>IF(I158="Yes",G158*Assumptions!$B$5*J158,0)</f>
        <v/>
      </c>
    </row>
    <row r="159">
      <c r="A159" t="n">
        <v>1916</v>
      </c>
      <c r="B159" t="inlineStr">
        <is>
          <t>Research &amp; Development</t>
        </is>
      </c>
      <c r="C159" t="inlineStr">
        <is>
          <t>Laboratory Technician</t>
        </is>
      </c>
      <c r="D159" t="inlineStr">
        <is>
          <t>No</t>
        </is>
      </c>
      <c r="E159" s="8" t="n">
        <v>3978</v>
      </c>
      <c r="F159" s="8">
        <f>E159*Assumptions!$B$7</f>
        <v/>
      </c>
      <c r="G159" s="9" t="n">
        <v>0.1579</v>
      </c>
      <c r="H159" t="inlineStr">
        <is>
          <t>Low</t>
        </is>
      </c>
      <c r="I159">
        <f>IF(G159&gt;=Assumptions!$B$4,"Yes","No")</f>
        <v/>
      </c>
      <c r="J159" s="8">
        <f>F159*Assumptions!$B$6</f>
        <v/>
      </c>
      <c r="K159" s="10">
        <f>G159*J159</f>
        <v/>
      </c>
      <c r="L159" s="10">
        <f>IF(I159="Yes",G159*Assumptions!$B$5*J159,0)</f>
        <v/>
      </c>
    </row>
    <row r="160">
      <c r="A160" t="n">
        <v>837</v>
      </c>
      <c r="B160" t="inlineStr">
        <is>
          <t>Research &amp; Development</t>
        </is>
      </c>
      <c r="C160" t="inlineStr">
        <is>
          <t>Healthcare Representative</t>
        </is>
      </c>
      <c r="D160" t="inlineStr">
        <is>
          <t>No</t>
        </is>
      </c>
      <c r="E160" s="8" t="n">
        <v>6288</v>
      </c>
      <c r="F160" s="8">
        <f>E160*Assumptions!$B$7</f>
        <v/>
      </c>
      <c r="G160" s="9" t="n">
        <v>0.1574</v>
      </c>
      <c r="H160" t="inlineStr">
        <is>
          <t>Low</t>
        </is>
      </c>
      <c r="I160">
        <f>IF(G160&gt;=Assumptions!$B$4,"Yes","No")</f>
        <v/>
      </c>
      <c r="J160" s="8">
        <f>F160*Assumptions!$B$6</f>
        <v/>
      </c>
      <c r="K160" s="10">
        <f>G160*J160</f>
        <v/>
      </c>
      <c r="L160" s="10">
        <f>IF(I160="Yes",G160*Assumptions!$B$5*J160,0)</f>
        <v/>
      </c>
    </row>
    <row r="161">
      <c r="A161" t="n">
        <v>1642</v>
      </c>
      <c r="B161" t="inlineStr">
        <is>
          <t>Human Resources</t>
        </is>
      </c>
      <c r="C161" t="inlineStr">
        <is>
          <t>Human Resources</t>
        </is>
      </c>
      <c r="D161" t="inlineStr">
        <is>
          <t>Yes</t>
        </is>
      </c>
      <c r="E161" s="8" t="n">
        <v>5743</v>
      </c>
      <c r="F161" s="8">
        <f>E161*Assumptions!$B$7</f>
        <v/>
      </c>
      <c r="G161" s="9" t="n">
        <v>0.1564</v>
      </c>
      <c r="H161" t="inlineStr">
        <is>
          <t>Low</t>
        </is>
      </c>
      <c r="I161">
        <f>IF(G161&gt;=Assumptions!$B$4,"Yes","No")</f>
        <v/>
      </c>
      <c r="J161" s="8">
        <f>F161*Assumptions!$B$6</f>
        <v/>
      </c>
      <c r="K161" s="10">
        <f>G161*J161</f>
        <v/>
      </c>
      <c r="L161" s="10">
        <f>IF(I161="Yes",G161*Assumptions!$B$5*J161,0)</f>
        <v/>
      </c>
    </row>
    <row r="162">
      <c r="A162" t="n">
        <v>1924</v>
      </c>
      <c r="B162" t="inlineStr">
        <is>
          <t>Sales</t>
        </is>
      </c>
      <c r="C162" t="inlineStr">
        <is>
          <t>Sales Executive</t>
        </is>
      </c>
      <c r="D162" t="inlineStr">
        <is>
          <t>No</t>
        </is>
      </c>
      <c r="E162" s="8" t="n">
        <v>5487</v>
      </c>
      <c r="F162" s="8">
        <f>E162*Assumptions!$B$7</f>
        <v/>
      </c>
      <c r="G162" s="9" t="n">
        <v>0.1564</v>
      </c>
      <c r="H162" t="inlineStr">
        <is>
          <t>Low</t>
        </is>
      </c>
      <c r="I162">
        <f>IF(G162&gt;=Assumptions!$B$4,"Yes","No")</f>
        <v/>
      </c>
      <c r="J162" s="8">
        <f>F162*Assumptions!$B$6</f>
        <v/>
      </c>
      <c r="K162" s="10">
        <f>G162*J162</f>
        <v/>
      </c>
      <c r="L162" s="10">
        <f>IF(I162="Yes",G162*Assumptions!$B$5*J162,0)</f>
        <v/>
      </c>
    </row>
    <row r="163">
      <c r="A163" t="n">
        <v>656</v>
      </c>
      <c r="B163" t="inlineStr">
        <is>
          <t>Sales</t>
        </is>
      </c>
      <c r="C163" t="inlineStr">
        <is>
          <t>Sales Executive</t>
        </is>
      </c>
      <c r="D163" t="inlineStr">
        <is>
          <t>Yes</t>
        </is>
      </c>
      <c r="E163" s="8" t="n">
        <v>9602</v>
      </c>
      <c r="F163" s="8">
        <f>E163*Assumptions!$B$7</f>
        <v/>
      </c>
      <c r="G163" s="9" t="n">
        <v>0.1558</v>
      </c>
      <c r="H163" t="inlineStr">
        <is>
          <t>Low</t>
        </is>
      </c>
      <c r="I163">
        <f>IF(G163&gt;=Assumptions!$B$4,"Yes","No")</f>
        <v/>
      </c>
      <c r="J163" s="8">
        <f>F163*Assumptions!$B$6</f>
        <v/>
      </c>
      <c r="K163" s="10">
        <f>G163*J163</f>
        <v/>
      </c>
      <c r="L163" s="10">
        <f>IF(I163="Yes",G163*Assumptions!$B$5*J163,0)</f>
        <v/>
      </c>
    </row>
    <row r="164">
      <c r="A164" t="n">
        <v>772</v>
      </c>
      <c r="B164" t="inlineStr">
        <is>
          <t>Research &amp; Development</t>
        </is>
      </c>
      <c r="C164" t="inlineStr">
        <is>
          <t>Laboratory Technician</t>
        </is>
      </c>
      <c r="D164" t="inlineStr">
        <is>
          <t>No</t>
        </is>
      </c>
      <c r="E164" s="8" t="n">
        <v>5309</v>
      </c>
      <c r="F164" s="8">
        <f>E164*Assumptions!$B$7</f>
        <v/>
      </c>
      <c r="G164" s="9" t="n">
        <v>0.154</v>
      </c>
      <c r="H164" t="inlineStr">
        <is>
          <t>Low</t>
        </is>
      </c>
      <c r="I164">
        <f>IF(G164&gt;=Assumptions!$B$4,"Yes","No")</f>
        <v/>
      </c>
      <c r="J164" s="8">
        <f>F164*Assumptions!$B$6</f>
        <v/>
      </c>
      <c r="K164" s="10">
        <f>G164*J164</f>
        <v/>
      </c>
      <c r="L164" s="10">
        <f>IF(I164="Yes",G164*Assumptions!$B$5*J164,0)</f>
        <v/>
      </c>
    </row>
    <row r="165">
      <c r="A165" t="n">
        <v>766</v>
      </c>
      <c r="B165" t="inlineStr">
        <is>
          <t>Sales</t>
        </is>
      </c>
      <c r="C165" t="inlineStr">
        <is>
          <t>Sales Representative</t>
        </is>
      </c>
      <c r="D165" t="inlineStr">
        <is>
          <t>No</t>
        </is>
      </c>
      <c r="E165" s="8" t="n">
        <v>2297</v>
      </c>
      <c r="F165" s="8">
        <f>E165*Assumptions!$B$7</f>
        <v/>
      </c>
      <c r="G165" s="9" t="n">
        <v>0.1526</v>
      </c>
      <c r="H165" t="inlineStr">
        <is>
          <t>Low</t>
        </is>
      </c>
      <c r="I165">
        <f>IF(G165&gt;=Assumptions!$B$4,"Yes","No")</f>
        <v/>
      </c>
      <c r="J165" s="8">
        <f>F165*Assumptions!$B$6</f>
        <v/>
      </c>
      <c r="K165" s="10">
        <f>G165*J165</f>
        <v/>
      </c>
      <c r="L165" s="10">
        <f>IF(I165="Yes",G165*Assumptions!$B$5*J165,0)</f>
        <v/>
      </c>
    </row>
    <row r="166">
      <c r="A166" t="n">
        <v>1669</v>
      </c>
      <c r="B166" t="inlineStr">
        <is>
          <t>Sales</t>
        </is>
      </c>
      <c r="C166" t="inlineStr">
        <is>
          <t>Sales Executive</t>
        </is>
      </c>
      <c r="D166" t="inlineStr">
        <is>
          <t>Yes</t>
        </is>
      </c>
      <c r="E166" s="8" t="n">
        <v>4187</v>
      </c>
      <c r="F166" s="8">
        <f>E166*Assumptions!$B$7</f>
        <v/>
      </c>
      <c r="G166" s="9" t="n">
        <v>0.1513</v>
      </c>
      <c r="H166" t="inlineStr">
        <is>
          <t>Low</t>
        </is>
      </c>
      <c r="I166">
        <f>IF(G166&gt;=Assumptions!$B$4,"Yes","No")</f>
        <v/>
      </c>
      <c r="J166" s="8">
        <f>F166*Assumptions!$B$6</f>
        <v/>
      </c>
      <c r="K166" s="10">
        <f>G166*J166</f>
        <v/>
      </c>
      <c r="L166" s="10">
        <f>IF(I166="Yes",G166*Assumptions!$B$5*J166,0)</f>
        <v/>
      </c>
    </row>
    <row r="167">
      <c r="A167" t="n">
        <v>49</v>
      </c>
      <c r="B167" t="inlineStr">
        <is>
          <t>Sales</t>
        </is>
      </c>
      <c r="C167" t="inlineStr">
        <is>
          <t>Sales Representative</t>
        </is>
      </c>
      <c r="D167" t="inlineStr">
        <is>
          <t>No</t>
        </is>
      </c>
      <c r="E167" s="8" t="n">
        <v>2014</v>
      </c>
      <c r="F167" s="8">
        <f>E167*Assumptions!$B$7</f>
        <v/>
      </c>
      <c r="G167" s="9" t="n">
        <v>0.151</v>
      </c>
      <c r="H167" t="inlineStr">
        <is>
          <t>Low</t>
        </is>
      </c>
      <c r="I167">
        <f>IF(G167&gt;=Assumptions!$B$4,"Yes","No")</f>
        <v/>
      </c>
      <c r="J167" s="8">
        <f>F167*Assumptions!$B$6</f>
        <v/>
      </c>
      <c r="K167" s="10">
        <f>G167*J167</f>
        <v/>
      </c>
      <c r="L167" s="10">
        <f>IF(I167="Yes",G167*Assumptions!$B$5*J167,0)</f>
        <v/>
      </c>
    </row>
    <row r="168">
      <c r="A168" t="n">
        <v>466</v>
      </c>
      <c r="B168" t="inlineStr">
        <is>
          <t>Research &amp; Development</t>
        </is>
      </c>
      <c r="C168" t="inlineStr">
        <is>
          <t>Manufacturing Director</t>
        </is>
      </c>
      <c r="D168" t="inlineStr">
        <is>
          <t>Yes</t>
        </is>
      </c>
      <c r="E168" s="8" t="n">
        <v>6032</v>
      </c>
      <c r="F168" s="8">
        <f>E168*Assumptions!$B$7</f>
        <v/>
      </c>
      <c r="G168" s="9" t="n">
        <v>0.1503</v>
      </c>
      <c r="H168" t="inlineStr">
        <is>
          <t>Low</t>
        </is>
      </c>
      <c r="I168">
        <f>IF(G168&gt;=Assumptions!$B$4,"Yes","No")</f>
        <v/>
      </c>
      <c r="J168" s="8">
        <f>F168*Assumptions!$B$6</f>
        <v/>
      </c>
      <c r="K168" s="10">
        <f>G168*J168</f>
        <v/>
      </c>
      <c r="L168" s="10">
        <f>IF(I168="Yes",G168*Assumptions!$B$5*J168,0)</f>
        <v/>
      </c>
    </row>
    <row r="169">
      <c r="A169" t="n">
        <v>1135</v>
      </c>
      <c r="B169" t="inlineStr">
        <is>
          <t>Sales</t>
        </is>
      </c>
      <c r="C169" t="inlineStr">
        <is>
          <t>Sales Representative</t>
        </is>
      </c>
      <c r="D169" t="inlineStr">
        <is>
          <t>No</t>
        </is>
      </c>
      <c r="E169" s="8" t="n">
        <v>2791</v>
      </c>
      <c r="F169" s="8">
        <f>E169*Assumptions!$B$7</f>
        <v/>
      </c>
      <c r="G169" s="9" t="n">
        <v>0.1495</v>
      </c>
      <c r="H169" t="inlineStr">
        <is>
          <t>Low</t>
        </is>
      </c>
      <c r="I169">
        <f>IF(G169&gt;=Assumptions!$B$4,"Yes","No")</f>
        <v/>
      </c>
      <c r="J169" s="8">
        <f>F169*Assumptions!$B$6</f>
        <v/>
      </c>
      <c r="K169" s="10">
        <f>G169*J169</f>
        <v/>
      </c>
      <c r="L169" s="10">
        <f>IF(I169="Yes",G169*Assumptions!$B$5*J169,0)</f>
        <v/>
      </c>
    </row>
    <row r="170">
      <c r="A170" t="n">
        <v>682</v>
      </c>
      <c r="B170" t="inlineStr">
        <is>
          <t>Sales</t>
        </is>
      </c>
      <c r="C170" t="inlineStr">
        <is>
          <t>Sales Executive</t>
        </is>
      </c>
      <c r="D170" t="inlineStr">
        <is>
          <t>No</t>
        </is>
      </c>
      <c r="E170" s="8" t="n">
        <v>8381</v>
      </c>
      <c r="F170" s="8">
        <f>E170*Assumptions!$B$7</f>
        <v/>
      </c>
      <c r="G170" s="9" t="n">
        <v>0.149</v>
      </c>
      <c r="H170" t="inlineStr">
        <is>
          <t>Low</t>
        </is>
      </c>
      <c r="I170">
        <f>IF(G170&gt;=Assumptions!$B$4,"Yes","No")</f>
        <v/>
      </c>
      <c r="J170" s="8">
        <f>F170*Assumptions!$B$6</f>
        <v/>
      </c>
      <c r="K170" s="10">
        <f>G170*J170</f>
        <v/>
      </c>
      <c r="L170" s="10">
        <f>IF(I170="Yes",G170*Assumptions!$B$5*J170,0)</f>
        <v/>
      </c>
    </row>
    <row r="171">
      <c r="A171" t="n">
        <v>1292</v>
      </c>
      <c r="B171" t="inlineStr">
        <is>
          <t>Research &amp; Development</t>
        </is>
      </c>
      <c r="C171" t="inlineStr">
        <is>
          <t>Research Scientist</t>
        </is>
      </c>
      <c r="D171" t="inlineStr">
        <is>
          <t>Yes</t>
        </is>
      </c>
      <c r="E171" s="8" t="n">
        <v>2372</v>
      </c>
      <c r="F171" s="8">
        <f>E171*Assumptions!$B$7</f>
        <v/>
      </c>
      <c r="G171" s="9" t="n">
        <v>0.1485</v>
      </c>
      <c r="H171" t="inlineStr">
        <is>
          <t>Low</t>
        </is>
      </c>
      <c r="I171">
        <f>IF(G171&gt;=Assumptions!$B$4,"Yes","No")</f>
        <v/>
      </c>
      <c r="J171" s="8">
        <f>F171*Assumptions!$B$6</f>
        <v/>
      </c>
      <c r="K171" s="10">
        <f>G171*J171</f>
        <v/>
      </c>
      <c r="L171" s="10">
        <f>IF(I171="Yes",G171*Assumptions!$B$5*J171,0)</f>
        <v/>
      </c>
    </row>
    <row r="172">
      <c r="A172" t="n">
        <v>933</v>
      </c>
      <c r="B172" t="inlineStr">
        <is>
          <t>Research &amp; Development</t>
        </is>
      </c>
      <c r="C172" t="inlineStr">
        <is>
          <t>Research Scientist</t>
        </is>
      </c>
      <c r="D172" t="inlineStr">
        <is>
          <t>No</t>
        </is>
      </c>
      <c r="E172" s="8" t="n">
        <v>2318</v>
      </c>
      <c r="F172" s="8">
        <f>E172*Assumptions!$B$7</f>
        <v/>
      </c>
      <c r="G172" s="9" t="n">
        <v>0.1481</v>
      </c>
      <c r="H172" t="inlineStr">
        <is>
          <t>Low</t>
        </is>
      </c>
      <c r="I172">
        <f>IF(G172&gt;=Assumptions!$B$4,"Yes","No")</f>
        <v/>
      </c>
      <c r="J172" s="8">
        <f>F172*Assumptions!$B$6</f>
        <v/>
      </c>
      <c r="K172" s="10">
        <f>G172*J172</f>
        <v/>
      </c>
      <c r="L172" s="10">
        <f>IF(I172="Yes",G172*Assumptions!$B$5*J172,0)</f>
        <v/>
      </c>
    </row>
    <row r="173">
      <c r="A173" t="n">
        <v>1675</v>
      </c>
      <c r="B173" t="inlineStr">
        <is>
          <t>Research &amp; Development</t>
        </is>
      </c>
      <c r="C173" t="inlineStr">
        <is>
          <t>Laboratory Technician</t>
        </is>
      </c>
      <c r="D173" t="inlineStr">
        <is>
          <t>No</t>
        </is>
      </c>
      <c r="E173" s="8" t="n">
        <v>2440</v>
      </c>
      <c r="F173" s="8">
        <f>E173*Assumptions!$B$7</f>
        <v/>
      </c>
      <c r="G173" s="9" t="n">
        <v>0.1481</v>
      </c>
      <c r="H173" t="inlineStr">
        <is>
          <t>Low</t>
        </is>
      </c>
      <c r="I173">
        <f>IF(G173&gt;=Assumptions!$B$4,"Yes","No")</f>
        <v/>
      </c>
      <c r="J173" s="8">
        <f>F173*Assumptions!$B$6</f>
        <v/>
      </c>
      <c r="K173" s="10">
        <f>G173*J173</f>
        <v/>
      </c>
      <c r="L173" s="10">
        <f>IF(I173="Yes",G173*Assumptions!$B$5*J173,0)</f>
        <v/>
      </c>
    </row>
    <row r="174">
      <c r="A174" t="n">
        <v>899</v>
      </c>
      <c r="B174" t="inlineStr">
        <is>
          <t>Research &amp; Development</t>
        </is>
      </c>
      <c r="C174" t="inlineStr">
        <is>
          <t>Manufacturing Director</t>
        </is>
      </c>
      <c r="D174" t="inlineStr">
        <is>
          <t>No</t>
        </is>
      </c>
      <c r="E174" s="8" t="n">
        <v>10903</v>
      </c>
      <c r="F174" s="8">
        <f>E174*Assumptions!$B$7</f>
        <v/>
      </c>
      <c r="G174" s="9" t="n">
        <v>0.1479</v>
      </c>
      <c r="H174" t="inlineStr">
        <is>
          <t>Low</t>
        </is>
      </c>
      <c r="I174">
        <f>IF(G174&gt;=Assumptions!$B$4,"Yes","No")</f>
        <v/>
      </c>
      <c r="J174" s="8">
        <f>F174*Assumptions!$B$6</f>
        <v/>
      </c>
      <c r="K174" s="10">
        <f>G174*J174</f>
        <v/>
      </c>
      <c r="L174" s="10">
        <f>IF(I174="Yes",G174*Assumptions!$B$5*J174,0)</f>
        <v/>
      </c>
    </row>
    <row r="175">
      <c r="A175" t="n">
        <v>1718</v>
      </c>
      <c r="B175" t="inlineStr">
        <is>
          <t>Research &amp; Development</t>
        </is>
      </c>
      <c r="C175" t="inlineStr">
        <is>
          <t>Laboratory Technician</t>
        </is>
      </c>
      <c r="D175" t="inlineStr">
        <is>
          <t>No</t>
        </is>
      </c>
      <c r="E175" s="8" t="n">
        <v>2305</v>
      </c>
      <c r="F175" s="8">
        <f>E175*Assumptions!$B$7</f>
        <v/>
      </c>
      <c r="G175" s="9" t="n">
        <v>0.1479</v>
      </c>
      <c r="H175" t="inlineStr">
        <is>
          <t>Low</t>
        </is>
      </c>
      <c r="I175">
        <f>IF(G175&gt;=Assumptions!$B$4,"Yes","No")</f>
        <v/>
      </c>
      <c r="J175" s="8">
        <f>F175*Assumptions!$B$6</f>
        <v/>
      </c>
      <c r="K175" s="10">
        <f>G175*J175</f>
        <v/>
      </c>
      <c r="L175" s="10">
        <f>IF(I175="Yes",G175*Assumptions!$B$5*J175,0)</f>
        <v/>
      </c>
    </row>
    <row r="176">
      <c r="A176" t="n">
        <v>1814</v>
      </c>
      <c r="B176" t="inlineStr">
        <is>
          <t>Research &amp; Development</t>
        </is>
      </c>
      <c r="C176" t="inlineStr">
        <is>
          <t>Healthcare Representative</t>
        </is>
      </c>
      <c r="D176" t="inlineStr">
        <is>
          <t>No</t>
        </is>
      </c>
      <c r="E176" s="8" t="n">
        <v>6870</v>
      </c>
      <c r="F176" s="8">
        <f>E176*Assumptions!$B$7</f>
        <v/>
      </c>
      <c r="G176" s="9" t="n">
        <v>0.1479</v>
      </c>
      <c r="H176" t="inlineStr">
        <is>
          <t>Low</t>
        </is>
      </c>
      <c r="I176">
        <f>IF(G176&gt;=Assumptions!$B$4,"Yes","No")</f>
        <v/>
      </c>
      <c r="J176" s="8">
        <f>F176*Assumptions!$B$6</f>
        <v/>
      </c>
      <c r="K176" s="10">
        <f>G176*J176</f>
        <v/>
      </c>
      <c r="L176" s="10">
        <f>IF(I176="Yes",G176*Assumptions!$B$5*J176,0)</f>
        <v/>
      </c>
    </row>
    <row r="177">
      <c r="A177" t="n">
        <v>1556</v>
      </c>
      <c r="B177" t="inlineStr">
        <is>
          <t>Sales</t>
        </is>
      </c>
      <c r="C177" t="inlineStr">
        <is>
          <t>Sales Representative</t>
        </is>
      </c>
      <c r="D177" t="inlineStr">
        <is>
          <t>Yes</t>
        </is>
      </c>
      <c r="E177" s="8" t="n">
        <v>2644</v>
      </c>
      <c r="F177" s="8">
        <f>E177*Assumptions!$B$7</f>
        <v/>
      </c>
      <c r="G177" s="9" t="n">
        <v>0.1475</v>
      </c>
      <c r="H177" t="inlineStr">
        <is>
          <t>Low</t>
        </is>
      </c>
      <c r="I177">
        <f>IF(G177&gt;=Assumptions!$B$4,"Yes","No")</f>
        <v/>
      </c>
      <c r="J177" s="8">
        <f>F177*Assumptions!$B$6</f>
        <v/>
      </c>
      <c r="K177" s="10">
        <f>G177*J177</f>
        <v/>
      </c>
      <c r="L177" s="10">
        <f>IF(I177="Yes",G177*Assumptions!$B$5*J177,0)</f>
        <v/>
      </c>
    </row>
    <row r="178">
      <c r="A178" t="n">
        <v>1591</v>
      </c>
      <c r="B178" t="inlineStr">
        <is>
          <t>Sales</t>
        </is>
      </c>
      <c r="C178" t="inlineStr">
        <is>
          <t>Manager</t>
        </is>
      </c>
      <c r="D178" t="inlineStr">
        <is>
          <t>Yes</t>
        </is>
      </c>
      <c r="E178" s="8" t="n">
        <v>19331</v>
      </c>
      <c r="F178" s="8">
        <f>E178*Assumptions!$B$7</f>
        <v/>
      </c>
      <c r="G178" s="9" t="n">
        <v>0.1475</v>
      </c>
      <c r="H178" t="inlineStr">
        <is>
          <t>Low</t>
        </is>
      </c>
      <c r="I178">
        <f>IF(G178&gt;=Assumptions!$B$4,"Yes","No")</f>
        <v/>
      </c>
      <c r="J178" s="8">
        <f>F178*Assumptions!$B$6</f>
        <v/>
      </c>
      <c r="K178" s="10">
        <f>G178*J178</f>
        <v/>
      </c>
      <c r="L178" s="10">
        <f>IF(I178="Yes",G178*Assumptions!$B$5*J178,0)</f>
        <v/>
      </c>
    </row>
    <row r="179">
      <c r="A179" t="n">
        <v>1622</v>
      </c>
      <c r="B179" t="inlineStr">
        <is>
          <t>Research &amp; Development</t>
        </is>
      </c>
      <c r="C179" t="inlineStr">
        <is>
          <t>Manufacturing Director</t>
        </is>
      </c>
      <c r="D179" t="inlineStr">
        <is>
          <t>No</t>
        </is>
      </c>
      <c r="E179" s="8" t="n">
        <v>4877</v>
      </c>
      <c r="F179" s="8">
        <f>E179*Assumptions!$B$7</f>
        <v/>
      </c>
      <c r="G179" s="9" t="n">
        <v>0.1464</v>
      </c>
      <c r="H179" t="inlineStr">
        <is>
          <t>Low</t>
        </is>
      </c>
      <c r="I179">
        <f>IF(G179&gt;=Assumptions!$B$4,"Yes","No")</f>
        <v/>
      </c>
      <c r="J179" s="8">
        <f>F179*Assumptions!$B$6</f>
        <v/>
      </c>
      <c r="K179" s="10">
        <f>G179*J179</f>
        <v/>
      </c>
      <c r="L179" s="10">
        <f>IF(I179="Yes",G179*Assumptions!$B$5*J179,0)</f>
        <v/>
      </c>
    </row>
    <row r="180">
      <c r="A180" t="n">
        <v>1674</v>
      </c>
      <c r="B180" t="inlineStr">
        <is>
          <t>Research &amp; Development</t>
        </is>
      </c>
      <c r="C180" t="inlineStr">
        <is>
          <t>Laboratory Technician</t>
        </is>
      </c>
      <c r="D180" t="inlineStr">
        <is>
          <t>Yes</t>
        </is>
      </c>
      <c r="E180" s="8" t="n">
        <v>2587</v>
      </c>
      <c r="F180" s="8">
        <f>E180*Assumptions!$B$7</f>
        <v/>
      </c>
      <c r="G180" s="9" t="n">
        <v>0.145</v>
      </c>
      <c r="H180" t="inlineStr">
        <is>
          <t>Low</t>
        </is>
      </c>
      <c r="I180">
        <f>IF(G180&gt;=Assumptions!$B$4,"Yes","No")</f>
        <v/>
      </c>
      <c r="J180" s="8">
        <f>F180*Assumptions!$B$6</f>
        <v/>
      </c>
      <c r="K180" s="10">
        <f>G180*J180</f>
        <v/>
      </c>
      <c r="L180" s="10">
        <f>IF(I180="Yes",G180*Assumptions!$B$5*J180,0)</f>
        <v/>
      </c>
    </row>
    <row r="181">
      <c r="A181" t="n">
        <v>10</v>
      </c>
      <c r="B181" t="inlineStr">
        <is>
          <t>Research &amp; Development</t>
        </is>
      </c>
      <c r="C181" t="inlineStr">
        <is>
          <t>Laboratory Technician</t>
        </is>
      </c>
      <c r="D181" t="inlineStr">
        <is>
          <t>Yes</t>
        </is>
      </c>
      <c r="E181" s="8" t="n">
        <v>2670</v>
      </c>
      <c r="F181" s="8">
        <f>E181*Assumptions!$B$7</f>
        <v/>
      </c>
      <c r="G181" s="9" t="n">
        <v>0.1428</v>
      </c>
      <c r="H181" t="inlineStr">
        <is>
          <t>Low</t>
        </is>
      </c>
      <c r="I181">
        <f>IF(G181&gt;=Assumptions!$B$4,"Yes","No")</f>
        <v/>
      </c>
      <c r="J181" s="8">
        <f>F181*Assumptions!$B$6</f>
        <v/>
      </c>
      <c r="K181" s="10">
        <f>G181*J181</f>
        <v/>
      </c>
      <c r="L181" s="10">
        <f>IF(I181="Yes",G181*Assumptions!$B$5*J181,0)</f>
        <v/>
      </c>
    </row>
    <row r="182">
      <c r="A182" t="n">
        <v>1915</v>
      </c>
      <c r="B182" t="inlineStr">
        <is>
          <t>Sales</t>
        </is>
      </c>
      <c r="C182" t="inlineStr">
        <is>
          <t>Sales Executive</t>
        </is>
      </c>
      <c r="D182" t="inlineStr">
        <is>
          <t>Yes</t>
        </is>
      </c>
      <c r="E182" s="8" t="n">
        <v>8103</v>
      </c>
      <c r="F182" s="8">
        <f>E182*Assumptions!$B$7</f>
        <v/>
      </c>
      <c r="G182" s="9" t="n">
        <v>0.1426</v>
      </c>
      <c r="H182" t="inlineStr">
        <is>
          <t>Low</t>
        </is>
      </c>
      <c r="I182">
        <f>IF(G182&gt;=Assumptions!$B$4,"Yes","No")</f>
        <v/>
      </c>
      <c r="J182" s="8">
        <f>F182*Assumptions!$B$6</f>
        <v/>
      </c>
      <c r="K182" s="10">
        <f>G182*J182</f>
        <v/>
      </c>
      <c r="L182" s="10">
        <f>IF(I182="Yes",G182*Assumptions!$B$5*J182,0)</f>
        <v/>
      </c>
    </row>
    <row r="183">
      <c r="A183" t="n">
        <v>103</v>
      </c>
      <c r="B183" t="inlineStr">
        <is>
          <t>Human Resources</t>
        </is>
      </c>
      <c r="C183" t="inlineStr">
        <is>
          <t>Human Resources</t>
        </is>
      </c>
      <c r="D183" t="inlineStr">
        <is>
          <t>Yes</t>
        </is>
      </c>
      <c r="E183" s="8" t="n">
        <v>5021</v>
      </c>
      <c r="F183" s="8">
        <f>E183*Assumptions!$B$7</f>
        <v/>
      </c>
      <c r="G183" s="9" t="n">
        <v>0.1426</v>
      </c>
      <c r="H183" t="inlineStr">
        <is>
          <t>Low</t>
        </is>
      </c>
      <c r="I183">
        <f>IF(G183&gt;=Assumptions!$B$4,"Yes","No")</f>
        <v/>
      </c>
      <c r="J183" s="8">
        <f>F183*Assumptions!$B$6</f>
        <v/>
      </c>
      <c r="K183" s="10">
        <f>G183*J183</f>
        <v/>
      </c>
      <c r="L183" s="10">
        <f>IF(I183="Yes",G183*Assumptions!$B$5*J183,0)</f>
        <v/>
      </c>
    </row>
    <row r="184">
      <c r="A184" t="n">
        <v>956</v>
      </c>
      <c r="B184" t="inlineStr">
        <is>
          <t>Sales</t>
        </is>
      </c>
      <c r="C184" t="inlineStr">
        <is>
          <t>Sales Executive</t>
        </is>
      </c>
      <c r="D184" t="inlineStr">
        <is>
          <t>No</t>
        </is>
      </c>
      <c r="E184" s="8" t="n">
        <v>4294</v>
      </c>
      <c r="F184" s="8">
        <f>E184*Assumptions!$B$7</f>
        <v/>
      </c>
      <c r="G184" s="9" t="n">
        <v>0.1418</v>
      </c>
      <c r="H184" t="inlineStr">
        <is>
          <t>Low</t>
        </is>
      </c>
      <c r="I184">
        <f>IF(G184&gt;=Assumptions!$B$4,"Yes","No")</f>
        <v/>
      </c>
      <c r="J184" s="8">
        <f>F184*Assumptions!$B$6</f>
        <v/>
      </c>
      <c r="K184" s="10">
        <f>G184*J184</f>
        <v/>
      </c>
      <c r="L184" s="10">
        <f>IF(I184="Yes",G184*Assumptions!$B$5*J184,0)</f>
        <v/>
      </c>
    </row>
    <row r="185">
      <c r="A185" t="n">
        <v>738</v>
      </c>
      <c r="B185" t="inlineStr">
        <is>
          <t>Sales</t>
        </is>
      </c>
      <c r="C185" t="inlineStr">
        <is>
          <t>Sales Representative</t>
        </is>
      </c>
      <c r="D185" t="inlineStr">
        <is>
          <t>No</t>
        </is>
      </c>
      <c r="E185" s="8" t="n">
        <v>3875</v>
      </c>
      <c r="F185" s="8">
        <f>E185*Assumptions!$B$7</f>
        <v/>
      </c>
      <c r="G185" s="9" t="n">
        <v>0.1413</v>
      </c>
      <c r="H185" t="inlineStr">
        <is>
          <t>Low</t>
        </is>
      </c>
      <c r="I185">
        <f>IF(G185&gt;=Assumptions!$B$4,"Yes","No")</f>
        <v/>
      </c>
      <c r="J185" s="8">
        <f>F185*Assumptions!$B$6</f>
        <v/>
      </c>
      <c r="K185" s="10">
        <f>G185*J185</f>
        <v/>
      </c>
      <c r="L185" s="10">
        <f>IF(I185="Yes",G185*Assumptions!$B$5*J185,0)</f>
        <v/>
      </c>
    </row>
    <row r="186">
      <c r="A186" t="n">
        <v>1801</v>
      </c>
      <c r="B186" t="inlineStr">
        <is>
          <t>Sales</t>
        </is>
      </c>
      <c r="C186" t="inlineStr">
        <is>
          <t>Sales Executive</t>
        </is>
      </c>
      <c r="D186" t="inlineStr">
        <is>
          <t>No</t>
        </is>
      </c>
      <c r="E186" s="8" t="n">
        <v>7991</v>
      </c>
      <c r="F186" s="8">
        <f>E186*Assumptions!$B$7</f>
        <v/>
      </c>
      <c r="G186" s="9" t="n">
        <v>0.1409</v>
      </c>
      <c r="H186" t="inlineStr">
        <is>
          <t>Low</t>
        </is>
      </c>
      <c r="I186">
        <f>IF(G186&gt;=Assumptions!$B$4,"Yes","No")</f>
        <v/>
      </c>
      <c r="J186" s="8">
        <f>F186*Assumptions!$B$6</f>
        <v/>
      </c>
      <c r="K186" s="10">
        <f>G186*J186</f>
        <v/>
      </c>
      <c r="L186" s="10">
        <f>IF(I186="Yes",G186*Assumptions!$B$5*J186,0)</f>
        <v/>
      </c>
    </row>
    <row r="187">
      <c r="A187" t="n">
        <v>403</v>
      </c>
      <c r="B187" t="inlineStr">
        <is>
          <t>Research &amp; Development</t>
        </is>
      </c>
      <c r="C187" t="inlineStr">
        <is>
          <t>Research Scientist</t>
        </is>
      </c>
      <c r="D187" t="inlineStr">
        <is>
          <t>Yes</t>
        </is>
      </c>
      <c r="E187" s="8" t="n">
        <v>2326</v>
      </c>
      <c r="F187" s="8">
        <f>E187*Assumptions!$B$7</f>
        <v/>
      </c>
      <c r="G187" s="9" t="n">
        <v>0.1408</v>
      </c>
      <c r="H187" t="inlineStr">
        <is>
          <t>Low</t>
        </is>
      </c>
      <c r="I187">
        <f>IF(G187&gt;=Assumptions!$B$4,"Yes","No")</f>
        <v/>
      </c>
      <c r="J187" s="8">
        <f>F187*Assumptions!$B$6</f>
        <v/>
      </c>
      <c r="K187" s="10">
        <f>G187*J187</f>
        <v/>
      </c>
      <c r="L187" s="10">
        <f>IF(I187="Yes",G187*Assumptions!$B$5*J187,0)</f>
        <v/>
      </c>
    </row>
    <row r="188">
      <c r="A188" t="n">
        <v>1138</v>
      </c>
      <c r="B188" t="inlineStr">
        <is>
          <t>Sales</t>
        </is>
      </c>
      <c r="C188" t="inlineStr">
        <is>
          <t>Sales Executive</t>
        </is>
      </c>
      <c r="D188" t="inlineStr">
        <is>
          <t>No</t>
        </is>
      </c>
      <c r="E188" s="8" t="n">
        <v>13120</v>
      </c>
      <c r="F188" s="8">
        <f>E188*Assumptions!$B$7</f>
        <v/>
      </c>
      <c r="G188" s="9" t="n">
        <v>0.1405</v>
      </c>
      <c r="H188" t="inlineStr">
        <is>
          <t>Low</t>
        </is>
      </c>
      <c r="I188">
        <f>IF(G188&gt;=Assumptions!$B$4,"Yes","No")</f>
        <v/>
      </c>
      <c r="J188" s="8">
        <f>F188*Assumptions!$B$6</f>
        <v/>
      </c>
      <c r="K188" s="10">
        <f>G188*J188</f>
        <v/>
      </c>
      <c r="L188" s="10">
        <f>IF(I188="Yes",G188*Assumptions!$B$5*J188,0)</f>
        <v/>
      </c>
    </row>
    <row r="189">
      <c r="A189" t="n">
        <v>941</v>
      </c>
      <c r="B189" t="inlineStr">
        <is>
          <t>Sales</t>
        </is>
      </c>
      <c r="C189" t="inlineStr">
        <is>
          <t>Sales Representative</t>
        </is>
      </c>
      <c r="D189" t="inlineStr">
        <is>
          <t>No</t>
        </is>
      </c>
      <c r="E189" s="8" t="n">
        <v>2329</v>
      </c>
      <c r="F189" s="8">
        <f>E189*Assumptions!$B$7</f>
        <v/>
      </c>
      <c r="G189" s="9" t="n">
        <v>0.1403</v>
      </c>
      <c r="H189" t="inlineStr">
        <is>
          <t>Low</t>
        </is>
      </c>
      <c r="I189">
        <f>IF(G189&gt;=Assumptions!$B$4,"Yes","No")</f>
        <v/>
      </c>
      <c r="J189" s="8">
        <f>F189*Assumptions!$B$6</f>
        <v/>
      </c>
      <c r="K189" s="10">
        <f>G189*J189</f>
        <v/>
      </c>
      <c r="L189" s="10">
        <f>IF(I189="Yes",G189*Assumptions!$B$5*J189,0)</f>
        <v/>
      </c>
    </row>
    <row r="190">
      <c r="A190" t="n">
        <v>715</v>
      </c>
      <c r="B190" t="inlineStr">
        <is>
          <t>Research &amp; Development</t>
        </is>
      </c>
      <c r="C190" t="inlineStr">
        <is>
          <t>Research Scientist</t>
        </is>
      </c>
      <c r="D190" t="inlineStr">
        <is>
          <t>No</t>
        </is>
      </c>
      <c r="E190" s="8" t="n">
        <v>4680</v>
      </c>
      <c r="F190" s="8">
        <f>E190*Assumptions!$B$7</f>
        <v/>
      </c>
      <c r="G190" s="9" t="n">
        <v>0.1395</v>
      </c>
      <c r="H190" t="inlineStr">
        <is>
          <t>Low</t>
        </is>
      </c>
      <c r="I190">
        <f>IF(G190&gt;=Assumptions!$B$4,"Yes","No")</f>
        <v/>
      </c>
      <c r="J190" s="8">
        <f>F190*Assumptions!$B$6</f>
        <v/>
      </c>
      <c r="K190" s="10">
        <f>G190*J190</f>
        <v/>
      </c>
      <c r="L190" s="10">
        <f>IF(I190="Yes",G190*Assumptions!$B$5*J190,0)</f>
        <v/>
      </c>
    </row>
    <row r="191">
      <c r="A191" t="n">
        <v>1766</v>
      </c>
      <c r="B191" t="inlineStr">
        <is>
          <t>Research &amp; Development</t>
        </is>
      </c>
      <c r="C191" t="inlineStr">
        <is>
          <t>Healthcare Representative</t>
        </is>
      </c>
      <c r="D191" t="inlineStr">
        <is>
          <t>Yes</t>
        </is>
      </c>
      <c r="E191" s="8" t="n">
        <v>5811</v>
      </c>
      <c r="F191" s="8">
        <f>E191*Assumptions!$B$7</f>
        <v/>
      </c>
      <c r="G191" s="9" t="n">
        <v>0.1379</v>
      </c>
      <c r="H191" t="inlineStr">
        <is>
          <t>Low</t>
        </is>
      </c>
      <c r="I191">
        <f>IF(G191&gt;=Assumptions!$B$4,"Yes","No")</f>
        <v/>
      </c>
      <c r="J191" s="8">
        <f>F191*Assumptions!$B$6</f>
        <v/>
      </c>
      <c r="K191" s="10">
        <f>G191*J191</f>
        <v/>
      </c>
      <c r="L191" s="10">
        <f>IF(I191="Yes",G191*Assumptions!$B$5*J191,0)</f>
        <v/>
      </c>
    </row>
    <row r="192">
      <c r="A192" t="n">
        <v>155</v>
      </c>
      <c r="B192" t="inlineStr">
        <is>
          <t>Research &amp; Development</t>
        </is>
      </c>
      <c r="C192" t="inlineStr">
        <is>
          <t>Laboratory Technician</t>
        </is>
      </c>
      <c r="D192" t="inlineStr">
        <is>
          <t>No</t>
        </is>
      </c>
      <c r="E192" s="8" t="n">
        <v>2835</v>
      </c>
      <c r="F192" s="8">
        <f>E192*Assumptions!$B$7</f>
        <v/>
      </c>
      <c r="G192" s="9" t="n">
        <v>0.1378</v>
      </c>
      <c r="H192" t="inlineStr">
        <is>
          <t>Low</t>
        </is>
      </c>
      <c r="I192">
        <f>IF(G192&gt;=Assumptions!$B$4,"Yes","No")</f>
        <v/>
      </c>
      <c r="J192" s="8">
        <f>F192*Assumptions!$B$6</f>
        <v/>
      </c>
      <c r="K192" s="10">
        <f>G192*J192</f>
        <v/>
      </c>
      <c r="L192" s="10">
        <f>IF(I192="Yes",G192*Assumptions!$B$5*J192,0)</f>
        <v/>
      </c>
    </row>
    <row r="193">
      <c r="A193" t="n">
        <v>467</v>
      </c>
      <c r="B193" t="inlineStr">
        <is>
          <t>Sales</t>
        </is>
      </c>
      <c r="C193" t="inlineStr">
        <is>
          <t>Sales Representative</t>
        </is>
      </c>
      <c r="D193" t="inlineStr">
        <is>
          <t>No</t>
        </is>
      </c>
      <c r="E193" s="8" t="n">
        <v>2976</v>
      </c>
      <c r="F193" s="8">
        <f>E193*Assumptions!$B$7</f>
        <v/>
      </c>
      <c r="G193" s="9" t="n">
        <v>0.1378</v>
      </c>
      <c r="H193" t="inlineStr">
        <is>
          <t>Low</t>
        </is>
      </c>
      <c r="I193">
        <f>IF(G193&gt;=Assumptions!$B$4,"Yes","No")</f>
        <v/>
      </c>
      <c r="J193" s="8">
        <f>F193*Assumptions!$B$6</f>
        <v/>
      </c>
      <c r="K193" s="10">
        <f>G193*J193</f>
        <v/>
      </c>
      <c r="L193" s="10">
        <f>IF(I193="Yes",G193*Assumptions!$B$5*J193,0)</f>
        <v/>
      </c>
    </row>
    <row r="194">
      <c r="A194" t="n">
        <v>1836</v>
      </c>
      <c r="B194" t="inlineStr">
        <is>
          <t>Sales</t>
        </is>
      </c>
      <c r="C194" t="inlineStr">
        <is>
          <t>Sales Executive</t>
        </is>
      </c>
      <c r="D194" t="inlineStr">
        <is>
          <t>No</t>
        </is>
      </c>
      <c r="E194" s="8" t="n">
        <v>4684</v>
      </c>
      <c r="F194" s="8">
        <f>E194*Assumptions!$B$7</f>
        <v/>
      </c>
      <c r="G194" s="9" t="n">
        <v>0.1377</v>
      </c>
      <c r="H194" t="inlineStr">
        <is>
          <t>Low</t>
        </is>
      </c>
      <c r="I194">
        <f>IF(G194&gt;=Assumptions!$B$4,"Yes","No")</f>
        <v/>
      </c>
      <c r="J194" s="8">
        <f>F194*Assumptions!$B$6</f>
        <v/>
      </c>
      <c r="K194" s="10">
        <f>G194*J194</f>
        <v/>
      </c>
      <c r="L194" s="10">
        <f>IF(I194="Yes",G194*Assumptions!$B$5*J194,0)</f>
        <v/>
      </c>
    </row>
    <row r="195">
      <c r="A195" t="n">
        <v>1046</v>
      </c>
      <c r="B195" t="inlineStr">
        <is>
          <t>Research &amp; Development</t>
        </is>
      </c>
      <c r="C195" t="inlineStr">
        <is>
          <t>Laboratory Technician</t>
        </is>
      </c>
      <c r="D195" t="inlineStr">
        <is>
          <t>No</t>
        </is>
      </c>
      <c r="E195" s="8" t="n">
        <v>4025</v>
      </c>
      <c r="F195" s="8">
        <f>E195*Assumptions!$B$7</f>
        <v/>
      </c>
      <c r="G195" s="9" t="n">
        <v>0.1362</v>
      </c>
      <c r="H195" t="inlineStr">
        <is>
          <t>Low</t>
        </is>
      </c>
      <c r="I195">
        <f>IF(G195&gt;=Assumptions!$B$4,"Yes","No")</f>
        <v/>
      </c>
      <c r="J195" s="8">
        <f>F195*Assumptions!$B$6</f>
        <v/>
      </c>
      <c r="K195" s="10">
        <f>G195*J195</f>
        <v/>
      </c>
      <c r="L195" s="10">
        <f>IF(I195="Yes",G195*Assumptions!$B$5*J195,0)</f>
        <v/>
      </c>
    </row>
    <row r="196">
      <c r="A196" t="n">
        <v>704</v>
      </c>
      <c r="B196" t="inlineStr">
        <is>
          <t>Research &amp; Development</t>
        </is>
      </c>
      <c r="C196" t="inlineStr">
        <is>
          <t>Laboratory Technician</t>
        </is>
      </c>
      <c r="D196" t="inlineStr">
        <is>
          <t>No</t>
        </is>
      </c>
      <c r="E196" s="8" t="n">
        <v>1281</v>
      </c>
      <c r="F196" s="8">
        <f>E196*Assumptions!$B$7</f>
        <v/>
      </c>
      <c r="G196" s="9" t="n">
        <v>0.1352</v>
      </c>
      <c r="H196" t="inlineStr">
        <is>
          <t>Low</t>
        </is>
      </c>
      <c r="I196">
        <f>IF(G196&gt;=Assumptions!$B$4,"Yes","No")</f>
        <v/>
      </c>
      <c r="J196" s="8">
        <f>F196*Assumptions!$B$6</f>
        <v/>
      </c>
      <c r="K196" s="10">
        <f>G196*J196</f>
        <v/>
      </c>
      <c r="L196" s="10">
        <f>IF(I196="Yes",G196*Assumptions!$B$5*J196,0)</f>
        <v/>
      </c>
    </row>
    <row r="197">
      <c r="A197" t="n">
        <v>1118</v>
      </c>
      <c r="B197" t="inlineStr">
        <is>
          <t>Research &amp; Development</t>
        </is>
      </c>
      <c r="C197" t="inlineStr">
        <is>
          <t>Healthcare Representative</t>
        </is>
      </c>
      <c r="D197" t="inlineStr">
        <is>
          <t>No</t>
        </is>
      </c>
      <c r="E197" s="8" t="n">
        <v>10445</v>
      </c>
      <c r="F197" s="8">
        <f>E197*Assumptions!$B$7</f>
        <v/>
      </c>
      <c r="G197" s="9" t="n">
        <v>0.135</v>
      </c>
      <c r="H197" t="inlineStr">
        <is>
          <t>Low</t>
        </is>
      </c>
      <c r="I197">
        <f>IF(G197&gt;=Assumptions!$B$4,"Yes","No")</f>
        <v/>
      </c>
      <c r="J197" s="8">
        <f>F197*Assumptions!$B$6</f>
        <v/>
      </c>
      <c r="K197" s="10">
        <f>G197*J197</f>
        <v/>
      </c>
      <c r="L197" s="10">
        <f>IF(I197="Yes",G197*Assumptions!$B$5*J197,0)</f>
        <v/>
      </c>
    </row>
    <row r="198">
      <c r="A198" t="n">
        <v>1935</v>
      </c>
      <c r="B198" t="inlineStr">
        <is>
          <t>Sales</t>
        </is>
      </c>
      <c r="C198" t="inlineStr">
        <is>
          <t>Sales Executive</t>
        </is>
      </c>
      <c r="D198" t="inlineStr">
        <is>
          <t>No</t>
        </is>
      </c>
      <c r="E198" s="8" t="n">
        <v>5380</v>
      </c>
      <c r="F198" s="8">
        <f>E198*Assumptions!$B$7</f>
        <v/>
      </c>
      <c r="G198" s="9" t="n">
        <v>0.1346</v>
      </c>
      <c r="H198" t="inlineStr">
        <is>
          <t>Low</t>
        </is>
      </c>
      <c r="I198">
        <f>IF(G198&gt;=Assumptions!$B$4,"Yes","No")</f>
        <v/>
      </c>
      <c r="J198" s="8">
        <f>F198*Assumptions!$B$6</f>
        <v/>
      </c>
      <c r="K198" s="10">
        <f>G198*J198</f>
        <v/>
      </c>
      <c r="L198" s="10">
        <f>IF(I198="Yes",G198*Assumptions!$B$5*J198,0)</f>
        <v/>
      </c>
    </row>
    <row r="199">
      <c r="A199" t="n">
        <v>363</v>
      </c>
      <c r="B199" t="inlineStr">
        <is>
          <t>Sales</t>
        </is>
      </c>
      <c r="C199" t="inlineStr">
        <is>
          <t>Manager</t>
        </is>
      </c>
      <c r="D199" t="inlineStr">
        <is>
          <t>Yes</t>
        </is>
      </c>
      <c r="E199" s="8" t="n">
        <v>16872</v>
      </c>
      <c r="F199" s="8">
        <f>E199*Assumptions!$B$7</f>
        <v/>
      </c>
      <c r="G199" s="9" t="n">
        <v>0.1346</v>
      </c>
      <c r="H199" t="inlineStr">
        <is>
          <t>Low</t>
        </is>
      </c>
      <c r="I199">
        <f>IF(G199&gt;=Assumptions!$B$4,"Yes","No")</f>
        <v/>
      </c>
      <c r="J199" s="8">
        <f>F199*Assumptions!$B$6</f>
        <v/>
      </c>
      <c r="K199" s="10">
        <f>G199*J199</f>
        <v/>
      </c>
      <c r="L199" s="10">
        <f>IF(I199="Yes",G199*Assumptions!$B$5*J199,0)</f>
        <v/>
      </c>
    </row>
    <row r="200">
      <c r="A200" t="n">
        <v>1882</v>
      </c>
      <c r="B200" t="inlineStr">
        <is>
          <t>Sales</t>
        </is>
      </c>
      <c r="C200" t="inlineStr">
        <is>
          <t>Sales Executive</t>
        </is>
      </c>
      <c r="D200" t="inlineStr">
        <is>
          <t>Yes</t>
        </is>
      </c>
      <c r="E200" s="8" t="n">
        <v>9713</v>
      </c>
      <c r="F200" s="8">
        <f>E200*Assumptions!$B$7</f>
        <v/>
      </c>
      <c r="G200" s="9" t="n">
        <v>0.1346</v>
      </c>
      <c r="H200" t="inlineStr">
        <is>
          <t>Low</t>
        </is>
      </c>
      <c r="I200">
        <f>IF(G200&gt;=Assumptions!$B$4,"Yes","No")</f>
        <v/>
      </c>
      <c r="J200" s="8">
        <f>F200*Assumptions!$B$6</f>
        <v/>
      </c>
      <c r="K200" s="10">
        <f>G200*J200</f>
        <v/>
      </c>
      <c r="L200" s="10">
        <f>IF(I200="Yes",G200*Assumptions!$B$5*J200,0)</f>
        <v/>
      </c>
    </row>
    <row r="201">
      <c r="A201" t="n">
        <v>556</v>
      </c>
      <c r="B201" t="inlineStr">
        <is>
          <t>Research &amp; Development</t>
        </is>
      </c>
      <c r="C201" t="inlineStr">
        <is>
          <t>Laboratory Technician</t>
        </is>
      </c>
      <c r="D201" t="inlineStr">
        <is>
          <t>Yes</t>
        </is>
      </c>
      <c r="E201" s="8" t="n">
        <v>1702</v>
      </c>
      <c r="F201" s="8">
        <f>E201*Assumptions!$B$7</f>
        <v/>
      </c>
      <c r="G201" s="9" t="n">
        <v>0.1338</v>
      </c>
      <c r="H201" t="inlineStr">
        <is>
          <t>Low</t>
        </is>
      </c>
      <c r="I201">
        <f>IF(G201&gt;=Assumptions!$B$4,"Yes","No")</f>
        <v/>
      </c>
      <c r="J201" s="8">
        <f>F201*Assumptions!$B$6</f>
        <v/>
      </c>
      <c r="K201" s="10">
        <f>G201*J201</f>
        <v/>
      </c>
      <c r="L201" s="10">
        <f>IF(I201="Yes",G201*Assumptions!$B$5*J201,0)</f>
        <v/>
      </c>
    </row>
    <row r="202">
      <c r="A202" t="n">
        <v>669</v>
      </c>
      <c r="B202" t="inlineStr">
        <is>
          <t>Sales</t>
        </is>
      </c>
      <c r="C202" t="inlineStr">
        <is>
          <t>Sales Representative</t>
        </is>
      </c>
      <c r="D202" t="inlineStr">
        <is>
          <t>No</t>
        </is>
      </c>
      <c r="E202" s="8" t="n">
        <v>3447</v>
      </c>
      <c r="F202" s="8">
        <f>E202*Assumptions!$B$7</f>
        <v/>
      </c>
      <c r="G202" s="9" t="n">
        <v>0.1334</v>
      </c>
      <c r="H202" t="inlineStr">
        <is>
          <t>Low</t>
        </is>
      </c>
      <c r="I202">
        <f>IF(G202&gt;=Assumptions!$B$4,"Yes","No")</f>
        <v/>
      </c>
      <c r="J202" s="8">
        <f>F202*Assumptions!$B$6</f>
        <v/>
      </c>
      <c r="K202" s="10">
        <f>G202*J202</f>
        <v/>
      </c>
      <c r="L202" s="10">
        <f>IF(I202="Yes",G202*Assumptions!$B$5*J202,0)</f>
        <v/>
      </c>
    </row>
    <row r="203">
      <c r="A203" t="n">
        <v>1211</v>
      </c>
      <c r="B203" t="inlineStr">
        <is>
          <t>Sales</t>
        </is>
      </c>
      <c r="C203" t="inlineStr">
        <is>
          <t>Sales Executive</t>
        </is>
      </c>
      <c r="D203" t="inlineStr">
        <is>
          <t>No</t>
        </is>
      </c>
      <c r="E203" s="8" t="n">
        <v>4115</v>
      </c>
      <c r="F203" s="8">
        <f>E203*Assumptions!$B$7</f>
        <v/>
      </c>
      <c r="G203" s="9" t="n">
        <v>0.1326</v>
      </c>
      <c r="H203" t="inlineStr">
        <is>
          <t>Low</t>
        </is>
      </c>
      <c r="I203">
        <f>IF(G203&gt;=Assumptions!$B$4,"Yes","No")</f>
        <v/>
      </c>
      <c r="J203" s="8">
        <f>F203*Assumptions!$B$6</f>
        <v/>
      </c>
      <c r="K203" s="10">
        <f>G203*J203</f>
        <v/>
      </c>
      <c r="L203" s="10">
        <f>IF(I203="Yes",G203*Assumptions!$B$5*J203,0)</f>
        <v/>
      </c>
    </row>
    <row r="204">
      <c r="A204" t="n">
        <v>1251</v>
      </c>
      <c r="B204" t="inlineStr">
        <is>
          <t>Research &amp; Development</t>
        </is>
      </c>
      <c r="C204" t="inlineStr">
        <is>
          <t>Healthcare Representative</t>
        </is>
      </c>
      <c r="D204" t="inlineStr">
        <is>
          <t>Yes</t>
        </is>
      </c>
      <c r="E204" s="8" t="n">
        <v>6833</v>
      </c>
      <c r="F204" s="8">
        <f>E204*Assumptions!$B$7</f>
        <v/>
      </c>
      <c r="G204" s="9" t="n">
        <v>0.1312</v>
      </c>
      <c r="H204" t="inlineStr">
        <is>
          <t>Low</t>
        </is>
      </c>
      <c r="I204">
        <f>IF(G204&gt;=Assumptions!$B$4,"Yes","No")</f>
        <v/>
      </c>
      <c r="J204" s="8">
        <f>F204*Assumptions!$B$6</f>
        <v/>
      </c>
      <c r="K204" s="10">
        <f>G204*J204</f>
        <v/>
      </c>
      <c r="L204" s="10">
        <f>IF(I204="Yes",G204*Assumptions!$B$5*J204,0)</f>
        <v/>
      </c>
    </row>
    <row r="205">
      <c r="A205" t="n">
        <v>1032</v>
      </c>
      <c r="B205" t="inlineStr">
        <is>
          <t>Research &amp; Development</t>
        </is>
      </c>
      <c r="C205" t="inlineStr">
        <is>
          <t>Manufacturing Director</t>
        </is>
      </c>
      <c r="D205" t="inlineStr">
        <is>
          <t>Yes</t>
        </is>
      </c>
      <c r="E205" s="8" t="n">
        <v>13726</v>
      </c>
      <c r="F205" s="8">
        <f>E205*Assumptions!$B$7</f>
        <v/>
      </c>
      <c r="G205" s="9" t="n">
        <v>0.1309</v>
      </c>
      <c r="H205" t="inlineStr">
        <is>
          <t>Low</t>
        </is>
      </c>
      <c r="I205">
        <f>IF(G205&gt;=Assumptions!$B$4,"Yes","No")</f>
        <v/>
      </c>
      <c r="J205" s="8">
        <f>F205*Assumptions!$B$6</f>
        <v/>
      </c>
      <c r="K205" s="10">
        <f>G205*J205</f>
        <v/>
      </c>
      <c r="L205" s="10">
        <f>IF(I205="Yes",G205*Assumptions!$B$5*J205,0)</f>
        <v/>
      </c>
    </row>
    <row r="206">
      <c r="A206" t="n">
        <v>274</v>
      </c>
      <c r="B206" t="inlineStr">
        <is>
          <t>Research &amp; Development</t>
        </is>
      </c>
      <c r="C206" t="inlineStr">
        <is>
          <t>Manufacturing Director</t>
        </is>
      </c>
      <c r="D206" t="inlineStr">
        <is>
          <t>No</t>
        </is>
      </c>
      <c r="E206" s="8" t="n">
        <v>4298</v>
      </c>
      <c r="F206" s="8">
        <f>E206*Assumptions!$B$7</f>
        <v/>
      </c>
      <c r="G206" s="9" t="n">
        <v>0.1308</v>
      </c>
      <c r="H206" t="inlineStr">
        <is>
          <t>Low</t>
        </is>
      </c>
      <c r="I206">
        <f>IF(G206&gt;=Assumptions!$B$4,"Yes","No")</f>
        <v/>
      </c>
      <c r="J206" s="8">
        <f>F206*Assumptions!$B$6</f>
        <v/>
      </c>
      <c r="K206" s="10">
        <f>G206*J206</f>
        <v/>
      </c>
      <c r="L206" s="10">
        <f>IF(I206="Yes",G206*Assumptions!$B$5*J206,0)</f>
        <v/>
      </c>
    </row>
    <row r="207">
      <c r="A207" t="n">
        <v>1787</v>
      </c>
      <c r="B207" t="inlineStr">
        <is>
          <t>Sales</t>
        </is>
      </c>
      <c r="C207" t="inlineStr">
        <is>
          <t>Sales Executive</t>
        </is>
      </c>
      <c r="D207" t="inlineStr">
        <is>
          <t>No</t>
        </is>
      </c>
      <c r="E207" s="8" t="n">
        <v>4189</v>
      </c>
      <c r="F207" s="8">
        <f>E207*Assumptions!$B$7</f>
        <v/>
      </c>
      <c r="G207" s="9" t="n">
        <v>0.1307</v>
      </c>
      <c r="H207" t="inlineStr">
        <is>
          <t>Low</t>
        </is>
      </c>
      <c r="I207">
        <f>IF(G207&gt;=Assumptions!$B$4,"Yes","No")</f>
        <v/>
      </c>
      <c r="J207" s="8">
        <f>F207*Assumptions!$B$6</f>
        <v/>
      </c>
      <c r="K207" s="10">
        <f>G207*J207</f>
        <v/>
      </c>
      <c r="L207" s="10">
        <f>IF(I207="Yes",G207*Assumptions!$B$5*J207,0)</f>
        <v/>
      </c>
    </row>
    <row r="208">
      <c r="A208" t="n">
        <v>592</v>
      </c>
      <c r="B208" t="inlineStr">
        <is>
          <t>Sales</t>
        </is>
      </c>
      <c r="C208" t="inlineStr">
        <is>
          <t>Sales Executive</t>
        </is>
      </c>
      <c r="D208" t="inlineStr">
        <is>
          <t>No</t>
        </is>
      </c>
      <c r="E208" s="8" t="n">
        <v>9980</v>
      </c>
      <c r="F208" s="8">
        <f>E208*Assumptions!$B$7</f>
        <v/>
      </c>
      <c r="G208" s="9" t="n">
        <v>0.1304</v>
      </c>
      <c r="H208" t="inlineStr">
        <is>
          <t>Low</t>
        </is>
      </c>
      <c r="I208">
        <f>IF(G208&gt;=Assumptions!$B$4,"Yes","No")</f>
        <v/>
      </c>
      <c r="J208" s="8">
        <f>F208*Assumptions!$B$6</f>
        <v/>
      </c>
      <c r="K208" s="10">
        <f>G208*J208</f>
        <v/>
      </c>
      <c r="L208" s="10">
        <f>IF(I208="Yes",G208*Assumptions!$B$5*J208,0)</f>
        <v/>
      </c>
    </row>
    <row r="209">
      <c r="A209" t="n">
        <v>1102</v>
      </c>
      <c r="B209" t="inlineStr">
        <is>
          <t>Research &amp; Development</t>
        </is>
      </c>
      <c r="C209" t="inlineStr">
        <is>
          <t>Laboratory Technician</t>
        </is>
      </c>
      <c r="D209" t="inlineStr">
        <is>
          <t>No</t>
        </is>
      </c>
      <c r="E209" s="8" t="n">
        <v>2207</v>
      </c>
      <c r="F209" s="8">
        <f>E209*Assumptions!$B$7</f>
        <v/>
      </c>
      <c r="G209" s="9" t="n">
        <v>0.1303</v>
      </c>
      <c r="H209" t="inlineStr">
        <is>
          <t>Low</t>
        </is>
      </c>
      <c r="I209">
        <f>IF(G209&gt;=Assumptions!$B$4,"Yes","No")</f>
        <v/>
      </c>
      <c r="J209" s="8">
        <f>F209*Assumptions!$B$6</f>
        <v/>
      </c>
      <c r="K209" s="10">
        <f>G209*J209</f>
        <v/>
      </c>
      <c r="L209" s="10">
        <f>IF(I209="Yes",G209*Assumptions!$B$5*J209,0)</f>
        <v/>
      </c>
    </row>
    <row r="210">
      <c r="A210" t="n">
        <v>321</v>
      </c>
      <c r="B210" t="inlineStr">
        <is>
          <t>Human Resources</t>
        </is>
      </c>
      <c r="C210" t="inlineStr">
        <is>
          <t>Human Resources</t>
        </is>
      </c>
      <c r="D210" t="inlineStr">
        <is>
          <t>No</t>
        </is>
      </c>
      <c r="E210" s="8" t="n">
        <v>2267</v>
      </c>
      <c r="F210" s="8">
        <f>E210*Assumptions!$B$7</f>
        <v/>
      </c>
      <c r="G210" s="9" t="n">
        <v>0.1303</v>
      </c>
      <c r="H210" t="inlineStr">
        <is>
          <t>Low</t>
        </is>
      </c>
      <c r="I210">
        <f>IF(G210&gt;=Assumptions!$B$4,"Yes","No")</f>
        <v/>
      </c>
      <c r="J210" s="8">
        <f>F210*Assumptions!$B$6</f>
        <v/>
      </c>
      <c r="K210" s="10">
        <f>G210*J210</f>
        <v/>
      </c>
      <c r="L210" s="10">
        <f>IF(I210="Yes",G210*Assumptions!$B$5*J210,0)</f>
        <v/>
      </c>
    </row>
    <row r="211">
      <c r="A211" t="n">
        <v>793</v>
      </c>
      <c r="B211" t="inlineStr">
        <is>
          <t>Research &amp; Development</t>
        </is>
      </c>
      <c r="C211" t="inlineStr">
        <is>
          <t>Healthcare Representative</t>
        </is>
      </c>
      <c r="D211" t="inlineStr">
        <is>
          <t>No</t>
        </is>
      </c>
      <c r="E211" s="8" t="n">
        <v>4335</v>
      </c>
      <c r="F211" s="8">
        <f>E211*Assumptions!$B$7</f>
        <v/>
      </c>
      <c r="G211" s="9" t="n">
        <v>0.1301</v>
      </c>
      <c r="H211" t="inlineStr">
        <is>
          <t>Low</t>
        </is>
      </c>
      <c r="I211">
        <f>IF(G211&gt;=Assumptions!$B$4,"Yes","No")</f>
        <v/>
      </c>
      <c r="J211" s="8">
        <f>F211*Assumptions!$B$6</f>
        <v/>
      </c>
      <c r="K211" s="10">
        <f>G211*J211</f>
        <v/>
      </c>
      <c r="L211" s="10">
        <f>IF(I211="Yes",G211*Assumptions!$B$5*J211,0)</f>
        <v/>
      </c>
    </row>
    <row r="212">
      <c r="A212" t="n">
        <v>330</v>
      </c>
      <c r="B212" t="inlineStr">
        <is>
          <t>Sales</t>
        </is>
      </c>
      <c r="C212" t="inlineStr">
        <is>
          <t>Sales Representative</t>
        </is>
      </c>
      <c r="D212" t="inlineStr">
        <is>
          <t>No</t>
        </is>
      </c>
      <c r="E212" s="8" t="n">
        <v>3931</v>
      </c>
      <c r="F212" s="8">
        <f>E212*Assumptions!$B$7</f>
        <v/>
      </c>
      <c r="G212" s="9" t="n">
        <v>0.13</v>
      </c>
      <c r="H212" t="inlineStr">
        <is>
          <t>Low</t>
        </is>
      </c>
      <c r="I212">
        <f>IF(G212&gt;=Assumptions!$B$4,"Yes","No")</f>
        <v/>
      </c>
      <c r="J212" s="8">
        <f>F212*Assumptions!$B$6</f>
        <v/>
      </c>
      <c r="K212" s="10">
        <f>G212*J212</f>
        <v/>
      </c>
      <c r="L212" s="10">
        <f>IF(I212="Yes",G212*Assumptions!$B$5*J212,0)</f>
        <v/>
      </c>
    </row>
    <row r="213">
      <c r="A213" t="n">
        <v>1350</v>
      </c>
      <c r="B213" t="inlineStr">
        <is>
          <t>Research &amp; Development</t>
        </is>
      </c>
      <c r="C213" t="inlineStr">
        <is>
          <t>Research Scientist</t>
        </is>
      </c>
      <c r="D213" t="inlineStr">
        <is>
          <t>Yes</t>
        </is>
      </c>
      <c r="E213" s="8" t="n">
        <v>4249</v>
      </c>
      <c r="F213" s="8">
        <f>E213*Assumptions!$B$7</f>
        <v/>
      </c>
      <c r="G213" s="9" t="n">
        <v>0.1294</v>
      </c>
      <c r="H213" t="inlineStr">
        <is>
          <t>Low</t>
        </is>
      </c>
      <c r="I213">
        <f>IF(G213&gt;=Assumptions!$B$4,"Yes","No")</f>
        <v/>
      </c>
      <c r="J213" s="8">
        <f>F213*Assumptions!$B$6</f>
        <v/>
      </c>
      <c r="K213" s="10">
        <f>G213*J213</f>
        <v/>
      </c>
      <c r="L213" s="10">
        <f>IF(I213="Yes",G213*Assumptions!$B$5*J213,0)</f>
        <v/>
      </c>
    </row>
    <row r="214">
      <c r="A214" t="n">
        <v>125</v>
      </c>
      <c r="B214" t="inlineStr">
        <is>
          <t>Sales</t>
        </is>
      </c>
      <c r="C214" t="inlineStr">
        <is>
          <t>Sales Executive</t>
        </is>
      </c>
      <c r="D214" t="inlineStr">
        <is>
          <t>No</t>
        </is>
      </c>
      <c r="E214" s="8" t="n">
        <v>5010</v>
      </c>
      <c r="F214" s="8">
        <f>E214*Assumptions!$B$7</f>
        <v/>
      </c>
      <c r="G214" s="9" t="n">
        <v>0.1288</v>
      </c>
      <c r="H214" t="inlineStr">
        <is>
          <t>Low</t>
        </is>
      </c>
      <c r="I214">
        <f>IF(G214&gt;=Assumptions!$B$4,"Yes","No")</f>
        <v/>
      </c>
      <c r="J214" s="8">
        <f>F214*Assumptions!$B$6</f>
        <v/>
      </c>
      <c r="K214" s="10">
        <f>G214*J214</f>
        <v/>
      </c>
      <c r="L214" s="10">
        <f>IF(I214="Yes",G214*Assumptions!$B$5*J214,0)</f>
        <v/>
      </c>
    </row>
    <row r="215">
      <c r="A215" t="n">
        <v>1612</v>
      </c>
      <c r="B215" t="inlineStr">
        <is>
          <t>Sales</t>
        </is>
      </c>
      <c r="C215" t="inlineStr">
        <is>
          <t>Sales Executive</t>
        </is>
      </c>
      <c r="D215" t="inlineStr">
        <is>
          <t>No</t>
        </is>
      </c>
      <c r="E215" s="8" t="n">
        <v>4385</v>
      </c>
      <c r="F215" s="8">
        <f>E215*Assumptions!$B$7</f>
        <v/>
      </c>
      <c r="G215" s="9" t="n">
        <v>0.1284</v>
      </c>
      <c r="H215" t="inlineStr">
        <is>
          <t>Low</t>
        </is>
      </c>
      <c r="I215">
        <f>IF(G215&gt;=Assumptions!$B$4,"Yes","No")</f>
        <v/>
      </c>
      <c r="J215" s="8">
        <f>F215*Assumptions!$B$6</f>
        <v/>
      </c>
      <c r="K215" s="10">
        <f>G215*J215</f>
        <v/>
      </c>
      <c r="L215" s="10">
        <f>IF(I215="Yes",G215*Assumptions!$B$5*J215,0)</f>
        <v/>
      </c>
    </row>
    <row r="216">
      <c r="A216" t="n">
        <v>1419</v>
      </c>
      <c r="B216" t="inlineStr">
        <is>
          <t>Human Resources</t>
        </is>
      </c>
      <c r="C216" t="inlineStr">
        <is>
          <t>Human Resources</t>
        </is>
      </c>
      <c r="D216" t="inlineStr">
        <is>
          <t>No</t>
        </is>
      </c>
      <c r="E216" s="8" t="n">
        <v>7988</v>
      </c>
      <c r="F216" s="8">
        <f>E216*Assumptions!$B$7</f>
        <v/>
      </c>
      <c r="G216" s="9" t="n">
        <v>0.1281</v>
      </c>
      <c r="H216" t="inlineStr">
        <is>
          <t>Low</t>
        </is>
      </c>
      <c r="I216">
        <f>IF(G216&gt;=Assumptions!$B$4,"Yes","No")</f>
        <v/>
      </c>
      <c r="J216" s="8">
        <f>F216*Assumptions!$B$6</f>
        <v/>
      </c>
      <c r="K216" s="10">
        <f>G216*J216</f>
        <v/>
      </c>
      <c r="L216" s="10">
        <f>IF(I216="Yes",G216*Assumptions!$B$5*J216,0)</f>
        <v/>
      </c>
    </row>
    <row r="217">
      <c r="A217" t="n">
        <v>1275</v>
      </c>
      <c r="B217" t="inlineStr">
        <is>
          <t>Research &amp; Development</t>
        </is>
      </c>
      <c r="C217" t="inlineStr">
        <is>
          <t>Research Scientist</t>
        </is>
      </c>
      <c r="D217" t="inlineStr">
        <is>
          <t>Yes</t>
        </is>
      </c>
      <c r="E217" s="8" t="n">
        <v>2875</v>
      </c>
      <c r="F217" s="8">
        <f>E217*Assumptions!$B$7</f>
        <v/>
      </c>
      <c r="G217" s="9" t="n">
        <v>0.1278</v>
      </c>
      <c r="H217" t="inlineStr">
        <is>
          <t>Low</t>
        </is>
      </c>
      <c r="I217">
        <f>IF(G217&gt;=Assumptions!$B$4,"Yes","No")</f>
        <v/>
      </c>
      <c r="J217" s="8">
        <f>F217*Assumptions!$B$6</f>
        <v/>
      </c>
      <c r="K217" s="10">
        <f>G217*J217</f>
        <v/>
      </c>
      <c r="L217" s="10">
        <f>IF(I217="Yes",G217*Assumptions!$B$5*J217,0)</f>
        <v/>
      </c>
    </row>
    <row r="218">
      <c r="A218" t="n">
        <v>1949</v>
      </c>
      <c r="B218" t="inlineStr">
        <is>
          <t>Research &amp; Development</t>
        </is>
      </c>
      <c r="C218" t="inlineStr">
        <is>
          <t>Laboratory Technician</t>
        </is>
      </c>
      <c r="D218" t="inlineStr">
        <is>
          <t>No</t>
        </is>
      </c>
      <c r="E218" s="8" t="n">
        <v>2810</v>
      </c>
      <c r="F218" s="8">
        <f>E218*Assumptions!$B$7</f>
        <v/>
      </c>
      <c r="G218" s="9" t="n">
        <v>0.1277</v>
      </c>
      <c r="H218" t="inlineStr">
        <is>
          <t>Low</t>
        </is>
      </c>
      <c r="I218">
        <f>IF(G218&gt;=Assumptions!$B$4,"Yes","No")</f>
        <v/>
      </c>
      <c r="J218" s="8">
        <f>F218*Assumptions!$B$6</f>
        <v/>
      </c>
      <c r="K218" s="10">
        <f>G218*J218</f>
        <v/>
      </c>
      <c r="L218" s="10">
        <f>IF(I218="Yes",G218*Assumptions!$B$5*J218,0)</f>
        <v/>
      </c>
    </row>
    <row r="219">
      <c r="A219" t="n">
        <v>1779</v>
      </c>
      <c r="B219" t="inlineStr">
        <is>
          <t>Sales</t>
        </is>
      </c>
      <c r="C219" t="inlineStr">
        <is>
          <t>Sales Executive</t>
        </is>
      </c>
      <c r="D219" t="inlineStr">
        <is>
          <t>No</t>
        </is>
      </c>
      <c r="E219" s="8" t="n">
        <v>6029</v>
      </c>
      <c r="F219" s="8">
        <f>E219*Assumptions!$B$7</f>
        <v/>
      </c>
      <c r="G219" s="9" t="n">
        <v>0.127</v>
      </c>
      <c r="H219" t="inlineStr">
        <is>
          <t>Low</t>
        </is>
      </c>
      <c r="I219">
        <f>IF(G219&gt;=Assumptions!$B$4,"Yes","No")</f>
        <v/>
      </c>
      <c r="J219" s="8">
        <f>F219*Assumptions!$B$6</f>
        <v/>
      </c>
      <c r="K219" s="10">
        <f>G219*J219</f>
        <v/>
      </c>
      <c r="L219" s="10">
        <f>IF(I219="Yes",G219*Assumptions!$B$5*J219,0)</f>
        <v/>
      </c>
    </row>
    <row r="220">
      <c r="A220" t="n">
        <v>388</v>
      </c>
      <c r="B220" t="inlineStr">
        <is>
          <t>Sales</t>
        </is>
      </c>
      <c r="C220" t="inlineStr">
        <is>
          <t>Sales Executive</t>
        </is>
      </c>
      <c r="D220" t="inlineStr">
        <is>
          <t>No</t>
        </is>
      </c>
      <c r="E220" s="8" t="n">
        <v>4554</v>
      </c>
      <c r="F220" s="8">
        <f>E220*Assumptions!$B$7</f>
        <v/>
      </c>
      <c r="G220" s="9" t="n">
        <v>0.1238</v>
      </c>
      <c r="H220" t="inlineStr">
        <is>
          <t>Low</t>
        </is>
      </c>
      <c r="I220">
        <f>IF(G220&gt;=Assumptions!$B$4,"Yes","No")</f>
        <v/>
      </c>
      <c r="J220" s="8">
        <f>F220*Assumptions!$B$6</f>
        <v/>
      </c>
      <c r="K220" s="10">
        <f>G220*J220</f>
        <v/>
      </c>
      <c r="L220" s="10">
        <f>IF(I220="Yes",G220*Assumptions!$B$5*J220,0)</f>
        <v/>
      </c>
    </row>
    <row r="221">
      <c r="A221" t="n">
        <v>1694</v>
      </c>
      <c r="B221" t="inlineStr">
        <is>
          <t>Research &amp; Development</t>
        </is>
      </c>
      <c r="C221" t="inlineStr">
        <is>
          <t>Research Scientist</t>
        </is>
      </c>
      <c r="D221" t="inlineStr">
        <is>
          <t>No</t>
        </is>
      </c>
      <c r="E221" s="8" t="n">
        <v>3537</v>
      </c>
      <c r="F221" s="8">
        <f>E221*Assumptions!$B$7</f>
        <v/>
      </c>
      <c r="G221" s="9" t="n">
        <v>0.1216</v>
      </c>
      <c r="H221" t="inlineStr">
        <is>
          <t>Low</t>
        </is>
      </c>
      <c r="I221">
        <f>IF(G221&gt;=Assumptions!$B$4,"Yes","No")</f>
        <v/>
      </c>
      <c r="J221" s="8">
        <f>F221*Assumptions!$B$6</f>
        <v/>
      </c>
      <c r="K221" s="10">
        <f>G221*J221</f>
        <v/>
      </c>
      <c r="L221" s="10">
        <f>IF(I221="Yes",G221*Assumptions!$B$5*J221,0)</f>
        <v/>
      </c>
    </row>
    <row r="222">
      <c r="A222" t="n">
        <v>895</v>
      </c>
      <c r="B222" t="inlineStr">
        <is>
          <t>Research &amp; Development</t>
        </is>
      </c>
      <c r="C222" t="inlineStr">
        <is>
          <t>Research Scientist</t>
        </is>
      </c>
      <c r="D222" t="inlineStr">
        <is>
          <t>Yes</t>
        </is>
      </c>
      <c r="E222" s="8" t="n">
        <v>2356</v>
      </c>
      <c r="F222" s="8">
        <f>E222*Assumptions!$B$7</f>
        <v/>
      </c>
      <c r="G222" s="9" t="n">
        <v>0.1211</v>
      </c>
      <c r="H222" t="inlineStr">
        <is>
          <t>Low</t>
        </is>
      </c>
      <c r="I222">
        <f>IF(G222&gt;=Assumptions!$B$4,"Yes","No")</f>
        <v/>
      </c>
      <c r="J222" s="8">
        <f>F222*Assumptions!$B$6</f>
        <v/>
      </c>
      <c r="K222" s="10">
        <f>G222*J222</f>
        <v/>
      </c>
      <c r="L222" s="10">
        <f>IF(I222="Yes",G222*Assumptions!$B$5*J222,0)</f>
        <v/>
      </c>
    </row>
    <row r="223">
      <c r="A223" t="n">
        <v>1425</v>
      </c>
      <c r="B223" t="inlineStr">
        <is>
          <t>Sales</t>
        </is>
      </c>
      <c r="C223" t="inlineStr">
        <is>
          <t>Sales Executive</t>
        </is>
      </c>
      <c r="D223" t="inlineStr">
        <is>
          <t>Yes</t>
        </is>
      </c>
      <c r="E223" s="8" t="n">
        <v>9278</v>
      </c>
      <c r="F223" s="8">
        <f>E223*Assumptions!$B$7</f>
        <v/>
      </c>
      <c r="G223" s="9" t="n">
        <v>0.1206</v>
      </c>
      <c r="H223" t="inlineStr">
        <is>
          <t>Low</t>
        </is>
      </c>
      <c r="I223">
        <f>IF(G223&gt;=Assumptions!$B$4,"Yes","No")</f>
        <v/>
      </c>
      <c r="J223" s="8">
        <f>F223*Assumptions!$B$6</f>
        <v/>
      </c>
      <c r="K223" s="10">
        <f>G223*J223</f>
        <v/>
      </c>
      <c r="L223" s="10">
        <f>IF(I223="Yes",G223*Assumptions!$B$5*J223,0)</f>
        <v/>
      </c>
    </row>
    <row r="224">
      <c r="A224" t="n">
        <v>359</v>
      </c>
      <c r="B224" t="inlineStr">
        <is>
          <t>Research &amp; Development</t>
        </is>
      </c>
      <c r="C224" t="inlineStr">
        <is>
          <t>Laboratory Technician</t>
        </is>
      </c>
      <c r="D224" t="inlineStr">
        <is>
          <t>No</t>
        </is>
      </c>
      <c r="E224" s="8" t="n">
        <v>2794</v>
      </c>
      <c r="F224" s="8">
        <f>E224*Assumptions!$B$7</f>
        <v/>
      </c>
      <c r="G224" s="9" t="n">
        <v>0.1203</v>
      </c>
      <c r="H224" t="inlineStr">
        <is>
          <t>Low</t>
        </is>
      </c>
      <c r="I224">
        <f>IF(G224&gt;=Assumptions!$B$4,"Yes","No")</f>
        <v/>
      </c>
      <c r="J224" s="8">
        <f>F224*Assumptions!$B$6</f>
        <v/>
      </c>
      <c r="K224" s="10">
        <f>G224*J224</f>
        <v/>
      </c>
      <c r="L224" s="10">
        <f>IF(I224="Yes",G224*Assumptions!$B$5*J224,0)</f>
        <v/>
      </c>
    </row>
    <row r="225">
      <c r="A225" t="n">
        <v>1298</v>
      </c>
      <c r="B225" t="inlineStr">
        <is>
          <t>Research &amp; Development</t>
        </is>
      </c>
      <c r="C225" t="inlineStr">
        <is>
          <t>Manufacturing Director</t>
        </is>
      </c>
      <c r="D225" t="inlineStr">
        <is>
          <t>Yes</t>
        </is>
      </c>
      <c r="E225" s="8" t="n">
        <v>4695</v>
      </c>
      <c r="F225" s="8">
        <f>E225*Assumptions!$B$7</f>
        <v/>
      </c>
      <c r="G225" s="9" t="n">
        <v>0.1202</v>
      </c>
      <c r="H225" t="inlineStr">
        <is>
          <t>Low</t>
        </is>
      </c>
      <c r="I225">
        <f>IF(G225&gt;=Assumptions!$B$4,"Yes","No")</f>
        <v/>
      </c>
      <c r="J225" s="8">
        <f>F225*Assumptions!$B$6</f>
        <v/>
      </c>
      <c r="K225" s="10">
        <f>G225*J225</f>
        <v/>
      </c>
      <c r="L225" s="10">
        <f>IF(I225="Yes",G225*Assumptions!$B$5*J225,0)</f>
        <v/>
      </c>
    </row>
    <row r="226">
      <c r="A226" t="n">
        <v>998</v>
      </c>
      <c r="B226" t="inlineStr">
        <is>
          <t>Research &amp; Development</t>
        </is>
      </c>
      <c r="C226" t="inlineStr">
        <is>
          <t>Healthcare Representative</t>
        </is>
      </c>
      <c r="D226" t="inlineStr">
        <is>
          <t>Yes</t>
        </is>
      </c>
      <c r="E226" s="8" t="n">
        <v>5488</v>
      </c>
      <c r="F226" s="8">
        <f>E226*Assumptions!$B$7</f>
        <v/>
      </c>
      <c r="G226" s="9" t="n">
        <v>0.1192</v>
      </c>
      <c r="H226" t="inlineStr">
        <is>
          <t>Low</t>
        </is>
      </c>
      <c r="I226">
        <f>IF(G226&gt;=Assumptions!$B$4,"Yes","No")</f>
        <v/>
      </c>
      <c r="J226" s="8">
        <f>F226*Assumptions!$B$6</f>
        <v/>
      </c>
      <c r="K226" s="10">
        <f>G226*J226</f>
        <v/>
      </c>
      <c r="L226" s="10">
        <f>IF(I226="Yes",G226*Assumptions!$B$5*J226,0)</f>
        <v/>
      </c>
    </row>
    <row r="227">
      <c r="A227" t="n">
        <v>1242</v>
      </c>
      <c r="B227" t="inlineStr">
        <is>
          <t>Research &amp; Development</t>
        </is>
      </c>
      <c r="C227" t="inlineStr">
        <is>
          <t>Research Director</t>
        </is>
      </c>
      <c r="D227" t="inlineStr">
        <is>
          <t>Yes</t>
        </is>
      </c>
      <c r="E227" s="8" t="n">
        <v>13191</v>
      </c>
      <c r="F227" s="8">
        <f>E227*Assumptions!$B$7</f>
        <v/>
      </c>
      <c r="G227" s="9" t="n">
        <v>0.1189</v>
      </c>
      <c r="H227" t="inlineStr">
        <is>
          <t>Low</t>
        </is>
      </c>
      <c r="I227">
        <f>IF(G227&gt;=Assumptions!$B$4,"Yes","No")</f>
        <v/>
      </c>
      <c r="J227" s="8">
        <f>F227*Assumptions!$B$6</f>
        <v/>
      </c>
      <c r="K227" s="10">
        <f>G227*J227</f>
        <v/>
      </c>
      <c r="L227" s="10">
        <f>IF(I227="Yes",G227*Assumptions!$B$5*J227,0)</f>
        <v/>
      </c>
    </row>
    <row r="228">
      <c r="A228" t="n">
        <v>508</v>
      </c>
      <c r="B228" t="inlineStr">
        <is>
          <t>Sales</t>
        </is>
      </c>
      <c r="C228" t="inlineStr">
        <is>
          <t>Sales Representative</t>
        </is>
      </c>
      <c r="D228" t="inlineStr">
        <is>
          <t>No</t>
        </is>
      </c>
      <c r="E228" s="8" t="n">
        <v>2476</v>
      </c>
      <c r="F228" s="8">
        <f>E228*Assumptions!$B$7</f>
        <v/>
      </c>
      <c r="G228" s="9" t="n">
        <v>0.1188</v>
      </c>
      <c r="H228" t="inlineStr">
        <is>
          <t>Low</t>
        </is>
      </c>
      <c r="I228">
        <f>IF(G228&gt;=Assumptions!$B$4,"Yes","No")</f>
        <v/>
      </c>
      <c r="J228" s="8">
        <f>F228*Assumptions!$B$6</f>
        <v/>
      </c>
      <c r="K228" s="10">
        <f>G228*J228</f>
        <v/>
      </c>
      <c r="L228" s="10">
        <f>IF(I228="Yes",G228*Assumptions!$B$5*J228,0)</f>
        <v/>
      </c>
    </row>
    <row r="229">
      <c r="A229" t="n">
        <v>216</v>
      </c>
      <c r="B229" t="inlineStr">
        <is>
          <t>Sales</t>
        </is>
      </c>
      <c r="C229" t="inlineStr">
        <is>
          <t>Sales Representative</t>
        </is>
      </c>
      <c r="D229" t="inlineStr">
        <is>
          <t>No</t>
        </is>
      </c>
      <c r="E229" s="8" t="n">
        <v>2231</v>
      </c>
      <c r="F229" s="8">
        <f>E229*Assumptions!$B$7</f>
        <v/>
      </c>
      <c r="G229" s="9" t="n">
        <v>0.1188</v>
      </c>
      <c r="H229" t="inlineStr">
        <is>
          <t>Low</t>
        </is>
      </c>
      <c r="I229">
        <f>IF(G229&gt;=Assumptions!$B$4,"Yes","No")</f>
        <v/>
      </c>
      <c r="J229" s="8">
        <f>F229*Assumptions!$B$6</f>
        <v/>
      </c>
      <c r="K229" s="10">
        <f>G229*J229</f>
        <v/>
      </c>
      <c r="L229" s="10">
        <f>IF(I229="Yes",G229*Assumptions!$B$5*J229,0)</f>
        <v/>
      </c>
    </row>
    <row r="230">
      <c r="A230" t="n">
        <v>632</v>
      </c>
      <c r="B230" t="inlineStr">
        <is>
          <t>Sales</t>
        </is>
      </c>
      <c r="C230" t="inlineStr">
        <is>
          <t>Sales Representative</t>
        </is>
      </c>
      <c r="D230" t="inlineStr">
        <is>
          <t>No</t>
        </is>
      </c>
      <c r="E230" s="8" t="n">
        <v>2400</v>
      </c>
      <c r="F230" s="8">
        <f>E230*Assumptions!$B$7</f>
        <v/>
      </c>
      <c r="G230" s="9" t="n">
        <v>0.1186</v>
      </c>
      <c r="H230" t="inlineStr">
        <is>
          <t>Low</t>
        </is>
      </c>
      <c r="I230">
        <f>IF(G230&gt;=Assumptions!$B$4,"Yes","No")</f>
        <v/>
      </c>
      <c r="J230" s="8">
        <f>F230*Assumptions!$B$6</f>
        <v/>
      </c>
      <c r="K230" s="10">
        <f>G230*J230</f>
        <v/>
      </c>
      <c r="L230" s="10">
        <f>IF(I230="Yes",G230*Assumptions!$B$5*J230,0)</f>
        <v/>
      </c>
    </row>
    <row r="231">
      <c r="A231" t="n">
        <v>81</v>
      </c>
      <c r="B231" t="inlineStr">
        <is>
          <t>Sales</t>
        </is>
      </c>
      <c r="C231" t="inlineStr">
        <is>
          <t>Sales Executive</t>
        </is>
      </c>
      <c r="D231" t="inlineStr">
        <is>
          <t>No</t>
        </is>
      </c>
      <c r="E231" s="8" t="n">
        <v>7637</v>
      </c>
      <c r="F231" s="8">
        <f>E231*Assumptions!$B$7</f>
        <v/>
      </c>
      <c r="G231" s="9" t="n">
        <v>0.1185</v>
      </c>
      <c r="H231" t="inlineStr">
        <is>
          <t>Low</t>
        </is>
      </c>
      <c r="I231">
        <f>IF(G231&gt;=Assumptions!$B$4,"Yes","No")</f>
        <v/>
      </c>
      <c r="J231" s="8">
        <f>F231*Assumptions!$B$6</f>
        <v/>
      </c>
      <c r="K231" s="10">
        <f>G231*J231</f>
        <v/>
      </c>
      <c r="L231" s="10">
        <f>IF(I231="Yes",G231*Assumptions!$B$5*J231,0)</f>
        <v/>
      </c>
    </row>
    <row r="232">
      <c r="A232" t="n">
        <v>1586</v>
      </c>
      <c r="B232" t="inlineStr">
        <is>
          <t>Research &amp; Development</t>
        </is>
      </c>
      <c r="C232" t="inlineStr">
        <is>
          <t>Laboratory Technician</t>
        </is>
      </c>
      <c r="D232" t="inlineStr">
        <is>
          <t>Yes</t>
        </is>
      </c>
      <c r="E232" s="8" t="n">
        <v>4723</v>
      </c>
      <c r="F232" s="8">
        <f>E232*Assumptions!$B$7</f>
        <v/>
      </c>
      <c r="G232" s="9" t="n">
        <v>0.1183</v>
      </c>
      <c r="H232" t="inlineStr">
        <is>
          <t>Low</t>
        </is>
      </c>
      <c r="I232">
        <f>IF(G232&gt;=Assumptions!$B$4,"Yes","No")</f>
        <v/>
      </c>
      <c r="J232" s="8">
        <f>F232*Assumptions!$B$6</f>
        <v/>
      </c>
      <c r="K232" s="10">
        <f>G232*J232</f>
        <v/>
      </c>
      <c r="L232" s="10">
        <f>IF(I232="Yes",G232*Assumptions!$B$5*J232,0)</f>
        <v/>
      </c>
    </row>
    <row r="233">
      <c r="A233" t="n">
        <v>680</v>
      </c>
      <c r="B233" t="inlineStr">
        <is>
          <t>Research &amp; Development</t>
        </is>
      </c>
      <c r="C233" t="inlineStr">
        <is>
          <t>Research Scientist</t>
        </is>
      </c>
      <c r="D233" t="inlineStr">
        <is>
          <t>No</t>
        </is>
      </c>
      <c r="E233" s="8" t="n">
        <v>2083</v>
      </c>
      <c r="F233" s="8">
        <f>E233*Assumptions!$B$7</f>
        <v/>
      </c>
      <c r="G233" s="9" t="n">
        <v>0.1183</v>
      </c>
      <c r="H233" t="inlineStr">
        <is>
          <t>Low</t>
        </is>
      </c>
      <c r="I233">
        <f>IF(G233&gt;=Assumptions!$B$4,"Yes","No")</f>
        <v/>
      </c>
      <c r="J233" s="8">
        <f>F233*Assumptions!$B$6</f>
        <v/>
      </c>
      <c r="K233" s="10">
        <f>G233*J233</f>
        <v/>
      </c>
      <c r="L233" s="10">
        <f>IF(I233="Yes",G233*Assumptions!$B$5*J233,0)</f>
        <v/>
      </c>
    </row>
    <row r="234">
      <c r="A234" t="n">
        <v>496</v>
      </c>
      <c r="B234" t="inlineStr">
        <is>
          <t>Research &amp; Development</t>
        </is>
      </c>
      <c r="C234" t="inlineStr">
        <is>
          <t>Healthcare Representative</t>
        </is>
      </c>
      <c r="D234" t="inlineStr">
        <is>
          <t>No</t>
        </is>
      </c>
      <c r="E234" s="8" t="n">
        <v>6540</v>
      </c>
      <c r="F234" s="8">
        <f>E234*Assumptions!$B$7</f>
        <v/>
      </c>
      <c r="G234" s="9" t="n">
        <v>0.1178</v>
      </c>
      <c r="H234" t="inlineStr">
        <is>
          <t>Low</t>
        </is>
      </c>
      <c r="I234">
        <f>IF(G234&gt;=Assumptions!$B$4,"Yes","No")</f>
        <v/>
      </c>
      <c r="J234" s="8">
        <f>F234*Assumptions!$B$6</f>
        <v/>
      </c>
      <c r="K234" s="10">
        <f>G234*J234</f>
        <v/>
      </c>
      <c r="L234" s="10">
        <f>IF(I234="Yes",G234*Assumptions!$B$5*J234,0)</f>
        <v/>
      </c>
    </row>
    <row r="235">
      <c r="A235" t="n">
        <v>733</v>
      </c>
      <c r="B235" t="inlineStr">
        <is>
          <t>Research &amp; Development</t>
        </is>
      </c>
      <c r="C235" t="inlineStr">
        <is>
          <t>Manufacturing Director</t>
        </is>
      </c>
      <c r="D235" t="inlineStr">
        <is>
          <t>No</t>
        </is>
      </c>
      <c r="E235" s="8" t="n">
        <v>8793</v>
      </c>
      <c r="F235" s="8">
        <f>E235*Assumptions!$B$7</f>
        <v/>
      </c>
      <c r="G235" s="9" t="n">
        <v>0.1173</v>
      </c>
      <c r="H235" t="inlineStr">
        <is>
          <t>Low</t>
        </is>
      </c>
      <c r="I235">
        <f>IF(G235&gt;=Assumptions!$B$4,"Yes","No")</f>
        <v/>
      </c>
      <c r="J235" s="8">
        <f>F235*Assumptions!$B$6</f>
        <v/>
      </c>
      <c r="K235" s="10">
        <f>G235*J235</f>
        <v/>
      </c>
      <c r="L235" s="10">
        <f>IF(I235="Yes",G235*Assumptions!$B$5*J235,0)</f>
        <v/>
      </c>
    </row>
    <row r="236">
      <c r="A236" t="n">
        <v>1415</v>
      </c>
      <c r="B236" t="inlineStr">
        <is>
          <t>Research &amp; Development</t>
        </is>
      </c>
      <c r="C236" t="inlineStr">
        <is>
          <t>Laboratory Technician</t>
        </is>
      </c>
      <c r="D236" t="inlineStr">
        <is>
          <t>No</t>
        </is>
      </c>
      <c r="E236" s="8" t="n">
        <v>3229</v>
      </c>
      <c r="F236" s="8">
        <f>E236*Assumptions!$B$7</f>
        <v/>
      </c>
      <c r="G236" s="9" t="n">
        <v>0.1169</v>
      </c>
      <c r="H236" t="inlineStr">
        <is>
          <t>Low</t>
        </is>
      </c>
      <c r="I236">
        <f>IF(G236&gt;=Assumptions!$B$4,"Yes","No")</f>
        <v/>
      </c>
      <c r="J236" s="8">
        <f>F236*Assumptions!$B$6</f>
        <v/>
      </c>
      <c r="K236" s="10">
        <f>G236*J236</f>
        <v/>
      </c>
      <c r="L236" s="10">
        <f>IF(I236="Yes",G236*Assumptions!$B$5*J236,0)</f>
        <v/>
      </c>
    </row>
    <row r="237">
      <c r="A237" t="n">
        <v>781</v>
      </c>
      <c r="B237" t="inlineStr">
        <is>
          <t>Sales</t>
        </is>
      </c>
      <c r="C237" t="inlineStr">
        <is>
          <t>Sales Executive</t>
        </is>
      </c>
      <c r="D237" t="inlineStr">
        <is>
          <t>No</t>
        </is>
      </c>
      <c r="E237" s="8" t="n">
        <v>6180</v>
      </c>
      <c r="F237" s="8">
        <f>E237*Assumptions!$B$7</f>
        <v/>
      </c>
      <c r="G237" s="9" t="n">
        <v>0.1163</v>
      </c>
      <c r="H237" t="inlineStr">
        <is>
          <t>Low</t>
        </is>
      </c>
      <c r="I237">
        <f>IF(G237&gt;=Assumptions!$B$4,"Yes","No")</f>
        <v/>
      </c>
      <c r="J237" s="8">
        <f>F237*Assumptions!$B$6</f>
        <v/>
      </c>
      <c r="K237" s="10">
        <f>G237*J237</f>
        <v/>
      </c>
      <c r="L237" s="10">
        <f>IF(I237="Yes",G237*Assumptions!$B$5*J237,0)</f>
        <v/>
      </c>
    </row>
    <row r="238">
      <c r="A238" t="n">
        <v>177</v>
      </c>
      <c r="B238" t="inlineStr">
        <is>
          <t>Human Resources</t>
        </is>
      </c>
      <c r="C238" t="inlineStr">
        <is>
          <t>Human Resources</t>
        </is>
      </c>
      <c r="D238" t="inlineStr">
        <is>
          <t>No</t>
        </is>
      </c>
      <c r="E238" s="8" t="n">
        <v>2942</v>
      </c>
      <c r="F238" s="8">
        <f>E238*Assumptions!$B$7</f>
        <v/>
      </c>
      <c r="G238" s="9" t="n">
        <v>0.116</v>
      </c>
      <c r="H238" t="inlineStr">
        <is>
          <t>Low</t>
        </is>
      </c>
      <c r="I238">
        <f>IF(G238&gt;=Assumptions!$B$4,"Yes","No")</f>
        <v/>
      </c>
      <c r="J238" s="8">
        <f>F238*Assumptions!$B$6</f>
        <v/>
      </c>
      <c r="K238" s="10">
        <f>G238*J238</f>
        <v/>
      </c>
      <c r="L238" s="10">
        <f>IF(I238="Yes",G238*Assumptions!$B$5*J238,0)</f>
        <v/>
      </c>
    </row>
    <row r="239">
      <c r="A239" t="n">
        <v>1704</v>
      </c>
      <c r="B239" t="inlineStr">
        <is>
          <t>Research &amp; Development</t>
        </is>
      </c>
      <c r="C239" t="inlineStr">
        <is>
          <t>Research Scientist</t>
        </is>
      </c>
      <c r="D239" t="inlineStr">
        <is>
          <t>Yes</t>
        </is>
      </c>
      <c r="E239" s="8" t="n">
        <v>4930</v>
      </c>
      <c r="F239" s="8">
        <f>E239*Assumptions!$B$7</f>
        <v/>
      </c>
      <c r="G239" s="9" t="n">
        <v>0.1151</v>
      </c>
      <c r="H239" t="inlineStr">
        <is>
          <t>Low</t>
        </is>
      </c>
      <c r="I239">
        <f>IF(G239&gt;=Assumptions!$B$4,"Yes","No")</f>
        <v/>
      </c>
      <c r="J239" s="8">
        <f>F239*Assumptions!$B$6</f>
        <v/>
      </c>
      <c r="K239" s="10">
        <f>G239*J239</f>
        <v/>
      </c>
      <c r="L239" s="10">
        <f>IF(I239="Yes",G239*Assumptions!$B$5*J239,0)</f>
        <v/>
      </c>
    </row>
    <row r="240">
      <c r="A240" t="n">
        <v>616</v>
      </c>
      <c r="B240" t="inlineStr">
        <is>
          <t>Research &amp; Development</t>
        </is>
      </c>
      <c r="C240" t="inlineStr">
        <is>
          <t>Healthcare Representative</t>
        </is>
      </c>
      <c r="D240" t="inlineStr">
        <is>
          <t>Yes</t>
        </is>
      </c>
      <c r="E240" s="8" t="n">
        <v>6811</v>
      </c>
      <c r="F240" s="8">
        <f>E240*Assumptions!$B$7</f>
        <v/>
      </c>
      <c r="G240" s="9" t="n">
        <v>0.1148</v>
      </c>
      <c r="H240" t="inlineStr">
        <is>
          <t>Low</t>
        </is>
      </c>
      <c r="I240">
        <f>IF(G240&gt;=Assumptions!$B$4,"Yes","No")</f>
        <v/>
      </c>
      <c r="J240" s="8">
        <f>F240*Assumptions!$B$6</f>
        <v/>
      </c>
      <c r="K240" s="10">
        <f>G240*J240</f>
        <v/>
      </c>
      <c r="L240" s="10">
        <f>IF(I240="Yes",G240*Assumptions!$B$5*J240,0)</f>
        <v/>
      </c>
    </row>
    <row r="241">
      <c r="A241" t="n">
        <v>78</v>
      </c>
      <c r="B241" t="inlineStr">
        <is>
          <t>Research &amp; Development</t>
        </is>
      </c>
      <c r="C241" t="inlineStr">
        <is>
          <t>Manufacturing Director</t>
        </is>
      </c>
      <c r="D241" t="inlineStr">
        <is>
          <t>Yes</t>
        </is>
      </c>
      <c r="E241" s="8" t="n">
        <v>6162</v>
      </c>
      <c r="F241" s="8">
        <f>E241*Assumptions!$B$7</f>
        <v/>
      </c>
      <c r="G241" s="9" t="n">
        <v>0.1144</v>
      </c>
      <c r="H241" t="inlineStr">
        <is>
          <t>Low</t>
        </is>
      </c>
      <c r="I241">
        <f>IF(G241&gt;=Assumptions!$B$4,"Yes","No")</f>
        <v/>
      </c>
      <c r="J241" s="8">
        <f>F241*Assumptions!$B$6</f>
        <v/>
      </c>
      <c r="K241" s="10">
        <f>G241*J241</f>
        <v/>
      </c>
      <c r="L241" s="10">
        <f>IF(I241="Yes",G241*Assumptions!$B$5*J241,0)</f>
        <v/>
      </c>
    </row>
    <row r="242">
      <c r="A242" t="n">
        <v>1477</v>
      </c>
      <c r="B242" t="inlineStr">
        <is>
          <t>Sales</t>
        </is>
      </c>
      <c r="C242" t="inlineStr">
        <is>
          <t>Sales Executive</t>
        </is>
      </c>
      <c r="D242" t="inlineStr">
        <is>
          <t>No</t>
        </is>
      </c>
      <c r="E242" s="8" t="n">
        <v>4373</v>
      </c>
      <c r="F242" s="8">
        <f>E242*Assumptions!$B$7</f>
        <v/>
      </c>
      <c r="G242" s="9" t="n">
        <v>0.1143</v>
      </c>
      <c r="H242" t="inlineStr">
        <is>
          <t>Low</t>
        </is>
      </c>
      <c r="I242">
        <f>IF(G242&gt;=Assumptions!$B$4,"Yes","No")</f>
        <v/>
      </c>
      <c r="J242" s="8">
        <f>F242*Assumptions!$B$6</f>
        <v/>
      </c>
      <c r="K242" s="10">
        <f>G242*J242</f>
        <v/>
      </c>
      <c r="L242" s="10">
        <f>IF(I242="Yes",G242*Assumptions!$B$5*J242,0)</f>
        <v/>
      </c>
    </row>
    <row r="243">
      <c r="A243" t="n">
        <v>783</v>
      </c>
      <c r="B243" t="inlineStr">
        <is>
          <t>Sales</t>
        </is>
      </c>
      <c r="C243" t="inlineStr">
        <is>
          <t>Sales Representative</t>
        </is>
      </c>
      <c r="D243" t="inlineStr">
        <is>
          <t>No</t>
        </is>
      </c>
      <c r="E243" s="8" t="n">
        <v>6632</v>
      </c>
      <c r="F243" s="8">
        <f>E243*Assumptions!$B$7</f>
        <v/>
      </c>
      <c r="G243" s="9" t="n">
        <v>0.1143</v>
      </c>
      <c r="H243" t="inlineStr">
        <is>
          <t>Low</t>
        </is>
      </c>
      <c r="I243">
        <f>IF(G243&gt;=Assumptions!$B$4,"Yes","No")</f>
        <v/>
      </c>
      <c r="J243" s="8">
        <f>F243*Assumptions!$B$6</f>
        <v/>
      </c>
      <c r="K243" s="10">
        <f>G243*J243</f>
        <v/>
      </c>
      <c r="L243" s="10">
        <f>IF(I243="Yes",G243*Assumptions!$B$5*J243,0)</f>
        <v/>
      </c>
    </row>
    <row r="244">
      <c r="A244" t="n">
        <v>1395</v>
      </c>
      <c r="B244" t="inlineStr">
        <is>
          <t>Sales</t>
        </is>
      </c>
      <c r="C244" t="inlineStr">
        <is>
          <t>Sales Executive</t>
        </is>
      </c>
      <c r="D244" t="inlineStr">
        <is>
          <t>No</t>
        </is>
      </c>
      <c r="E244" s="8" t="n">
        <v>9998</v>
      </c>
      <c r="F244" s="8">
        <f>E244*Assumptions!$B$7</f>
        <v/>
      </c>
      <c r="G244" s="9" t="n">
        <v>0.1138</v>
      </c>
      <c r="H244" t="inlineStr">
        <is>
          <t>Low</t>
        </is>
      </c>
      <c r="I244">
        <f>IF(G244&gt;=Assumptions!$B$4,"Yes","No")</f>
        <v/>
      </c>
      <c r="J244" s="8">
        <f>F244*Assumptions!$B$6</f>
        <v/>
      </c>
      <c r="K244" s="10">
        <f>G244*J244</f>
        <v/>
      </c>
      <c r="L244" s="10">
        <f>IF(I244="Yes",G244*Assumptions!$B$5*J244,0)</f>
        <v/>
      </c>
    </row>
    <row r="245">
      <c r="A245" t="n">
        <v>442</v>
      </c>
      <c r="B245" t="inlineStr">
        <is>
          <t>Research &amp; Development</t>
        </is>
      </c>
      <c r="C245" t="inlineStr">
        <is>
          <t>Manufacturing Director</t>
        </is>
      </c>
      <c r="D245" t="inlineStr">
        <is>
          <t>No</t>
        </is>
      </c>
      <c r="E245" s="8" t="n">
        <v>8943</v>
      </c>
      <c r="F245" s="8">
        <f>E245*Assumptions!$B$7</f>
        <v/>
      </c>
      <c r="G245" s="9" t="n">
        <v>0.1133</v>
      </c>
      <c r="H245" t="inlineStr">
        <is>
          <t>Low</t>
        </is>
      </c>
      <c r="I245">
        <f>IF(G245&gt;=Assumptions!$B$4,"Yes","No")</f>
        <v/>
      </c>
      <c r="J245" s="8">
        <f>F245*Assumptions!$B$6</f>
        <v/>
      </c>
      <c r="K245" s="10">
        <f>G245*J245</f>
        <v/>
      </c>
      <c r="L245" s="10">
        <f>IF(I245="Yes",G245*Assumptions!$B$5*J245,0)</f>
        <v/>
      </c>
    </row>
    <row r="246">
      <c r="A246" t="n">
        <v>1435</v>
      </c>
      <c r="B246" t="inlineStr">
        <is>
          <t>Research &amp; Development</t>
        </is>
      </c>
      <c r="C246" t="inlineStr">
        <is>
          <t>Laboratory Technician</t>
        </is>
      </c>
      <c r="D246" t="inlineStr">
        <is>
          <t>No</t>
        </is>
      </c>
      <c r="E246" s="8" t="n">
        <v>5810</v>
      </c>
      <c r="F246" s="8">
        <f>E246*Assumptions!$B$7</f>
        <v/>
      </c>
      <c r="G246" s="9" t="n">
        <v>0.113</v>
      </c>
      <c r="H246" t="inlineStr">
        <is>
          <t>Low</t>
        </is>
      </c>
      <c r="I246">
        <f>IF(G246&gt;=Assumptions!$B$4,"Yes","No")</f>
        <v/>
      </c>
      <c r="J246" s="8">
        <f>F246*Assumptions!$B$6</f>
        <v/>
      </c>
      <c r="K246" s="10">
        <f>G246*J246</f>
        <v/>
      </c>
      <c r="L246" s="10">
        <f>IF(I246="Yes",G246*Assumptions!$B$5*J246,0)</f>
        <v/>
      </c>
    </row>
    <row r="247">
      <c r="A247" t="n">
        <v>95</v>
      </c>
      <c r="B247" t="inlineStr">
        <is>
          <t>Research &amp; Development</t>
        </is>
      </c>
      <c r="C247" t="inlineStr">
        <is>
          <t>Research Scientist</t>
        </is>
      </c>
      <c r="D247" t="inlineStr">
        <is>
          <t>No</t>
        </is>
      </c>
      <c r="E247" s="8" t="n">
        <v>2501</v>
      </c>
      <c r="F247" s="8">
        <f>E247*Assumptions!$B$7</f>
        <v/>
      </c>
      <c r="G247" s="9" t="n">
        <v>0.113</v>
      </c>
      <c r="H247" t="inlineStr">
        <is>
          <t>Low</t>
        </is>
      </c>
      <c r="I247">
        <f>IF(G247&gt;=Assumptions!$B$4,"Yes","No")</f>
        <v/>
      </c>
      <c r="J247" s="8">
        <f>F247*Assumptions!$B$6</f>
        <v/>
      </c>
      <c r="K247" s="10">
        <f>G247*J247</f>
        <v/>
      </c>
      <c r="L247" s="10">
        <f>IF(I247="Yes",G247*Assumptions!$B$5*J247,0)</f>
        <v/>
      </c>
    </row>
    <row r="248">
      <c r="A248" t="n">
        <v>1506</v>
      </c>
      <c r="B248" t="inlineStr">
        <is>
          <t>Research &amp; Development</t>
        </is>
      </c>
      <c r="C248" t="inlineStr">
        <is>
          <t>Research Scientist</t>
        </is>
      </c>
      <c r="D248" t="inlineStr">
        <is>
          <t>No</t>
        </is>
      </c>
      <c r="E248" s="8" t="n">
        <v>1563</v>
      </c>
      <c r="F248" s="8">
        <f>E248*Assumptions!$B$7</f>
        <v/>
      </c>
      <c r="G248" s="9" t="n">
        <v>0.1123</v>
      </c>
      <c r="H248" t="inlineStr">
        <is>
          <t>Low</t>
        </is>
      </c>
      <c r="I248">
        <f>IF(G248&gt;=Assumptions!$B$4,"Yes","No")</f>
        <v/>
      </c>
      <c r="J248" s="8">
        <f>F248*Assumptions!$B$6</f>
        <v/>
      </c>
      <c r="K248" s="10">
        <f>G248*J248</f>
        <v/>
      </c>
      <c r="L248" s="10">
        <f>IF(I248="Yes",G248*Assumptions!$B$5*J248,0)</f>
        <v/>
      </c>
    </row>
    <row r="249">
      <c r="A249" t="n">
        <v>1860</v>
      </c>
      <c r="B249" t="inlineStr">
        <is>
          <t>Research &amp; Development</t>
        </is>
      </c>
      <c r="C249" t="inlineStr">
        <is>
          <t>Laboratory Technician</t>
        </is>
      </c>
      <c r="D249" t="inlineStr">
        <is>
          <t>No</t>
        </is>
      </c>
      <c r="E249" s="8" t="n">
        <v>3968</v>
      </c>
      <c r="F249" s="8">
        <f>E249*Assumptions!$B$7</f>
        <v/>
      </c>
      <c r="G249" s="9" t="n">
        <v>0.1123</v>
      </c>
      <c r="H249" t="inlineStr">
        <is>
          <t>Low</t>
        </is>
      </c>
      <c r="I249">
        <f>IF(G249&gt;=Assumptions!$B$4,"Yes","No")</f>
        <v/>
      </c>
      <c r="J249" s="8">
        <f>F249*Assumptions!$B$6</f>
        <v/>
      </c>
      <c r="K249" s="10">
        <f>G249*J249</f>
        <v/>
      </c>
      <c r="L249" s="10">
        <f>IF(I249="Yes",G249*Assumptions!$B$5*J249,0)</f>
        <v/>
      </c>
    </row>
    <row r="250">
      <c r="A250" t="n">
        <v>982</v>
      </c>
      <c r="B250" t="inlineStr">
        <is>
          <t>Sales</t>
        </is>
      </c>
      <c r="C250" t="inlineStr">
        <is>
          <t>Sales Executive</t>
        </is>
      </c>
      <c r="D250" t="inlineStr">
        <is>
          <t>No</t>
        </is>
      </c>
      <c r="E250" s="8" t="n">
        <v>7264</v>
      </c>
      <c r="F250" s="8">
        <f>E250*Assumptions!$B$7</f>
        <v/>
      </c>
      <c r="G250" s="9" t="n">
        <v>0.1119</v>
      </c>
      <c r="H250" t="inlineStr">
        <is>
          <t>Low</t>
        </is>
      </c>
      <c r="I250">
        <f>IF(G250&gt;=Assumptions!$B$4,"Yes","No")</f>
        <v/>
      </c>
      <c r="J250" s="8">
        <f>F250*Assumptions!$B$6</f>
        <v/>
      </c>
      <c r="K250" s="10">
        <f>G250*J250</f>
        <v/>
      </c>
      <c r="L250" s="10">
        <f>IF(I250="Yes",G250*Assumptions!$B$5*J250,0)</f>
        <v/>
      </c>
    </row>
    <row r="251">
      <c r="A251" t="n">
        <v>1377</v>
      </c>
      <c r="B251" t="inlineStr">
        <is>
          <t>Research &amp; Development</t>
        </is>
      </c>
      <c r="C251" t="inlineStr">
        <is>
          <t>Laboratory Technician</t>
        </is>
      </c>
      <c r="D251" t="inlineStr">
        <is>
          <t>No</t>
        </is>
      </c>
      <c r="E251" s="8" t="n">
        <v>5429</v>
      </c>
      <c r="F251" s="8">
        <f>E251*Assumptions!$B$7</f>
        <v/>
      </c>
      <c r="G251" s="9" t="n">
        <v>0.111</v>
      </c>
      <c r="H251" t="inlineStr">
        <is>
          <t>Low</t>
        </is>
      </c>
      <c r="I251">
        <f>IF(G251&gt;=Assumptions!$B$4,"Yes","No")</f>
        <v/>
      </c>
      <c r="J251" s="8">
        <f>F251*Assumptions!$B$6</f>
        <v/>
      </c>
      <c r="K251" s="10">
        <f>G251*J251</f>
        <v/>
      </c>
      <c r="L251" s="10">
        <f>IF(I251="Yes",G251*Assumptions!$B$5*J251,0)</f>
        <v/>
      </c>
    </row>
    <row r="252">
      <c r="A252" t="n">
        <v>1445</v>
      </c>
      <c r="B252" t="inlineStr">
        <is>
          <t>Sales</t>
        </is>
      </c>
      <c r="C252" t="inlineStr">
        <is>
          <t>Sales Executive</t>
        </is>
      </c>
      <c r="D252" t="inlineStr">
        <is>
          <t>Yes</t>
        </is>
      </c>
      <c r="E252" s="8" t="n">
        <v>4162</v>
      </c>
      <c r="F252" s="8">
        <f>E252*Assumptions!$B$7</f>
        <v/>
      </c>
      <c r="G252" s="9" t="n">
        <v>0.1105</v>
      </c>
      <c r="H252" t="inlineStr">
        <is>
          <t>Low</t>
        </is>
      </c>
      <c r="I252">
        <f>IF(G252&gt;=Assumptions!$B$4,"Yes","No")</f>
        <v/>
      </c>
      <c r="J252" s="8">
        <f>F252*Assumptions!$B$6</f>
        <v/>
      </c>
      <c r="K252" s="10">
        <f>G252*J252</f>
        <v/>
      </c>
      <c r="L252" s="10">
        <f>IF(I252="Yes",G252*Assumptions!$B$5*J252,0)</f>
        <v/>
      </c>
    </row>
    <row r="253">
      <c r="A253" t="n">
        <v>920</v>
      </c>
      <c r="B253" t="inlineStr">
        <is>
          <t>Research &amp; Development</t>
        </is>
      </c>
      <c r="C253" t="inlineStr">
        <is>
          <t>Manufacturing Director</t>
        </is>
      </c>
      <c r="D253" t="inlineStr">
        <is>
          <t>No</t>
        </is>
      </c>
      <c r="E253" s="8" t="n">
        <v>4765</v>
      </c>
      <c r="F253" s="8">
        <f>E253*Assumptions!$B$7</f>
        <v/>
      </c>
      <c r="G253" s="9" t="n">
        <v>0.1105</v>
      </c>
      <c r="H253" t="inlineStr">
        <is>
          <t>Low</t>
        </is>
      </c>
      <c r="I253">
        <f>IF(G253&gt;=Assumptions!$B$4,"Yes","No")</f>
        <v/>
      </c>
      <c r="J253" s="8">
        <f>F253*Assumptions!$B$6</f>
        <v/>
      </c>
      <c r="K253" s="10">
        <f>G253*J253</f>
        <v/>
      </c>
      <c r="L253" s="10">
        <f>IF(I253="Yes",G253*Assumptions!$B$5*J253,0)</f>
        <v/>
      </c>
    </row>
    <row r="254">
      <c r="A254" t="n">
        <v>1358</v>
      </c>
      <c r="B254" t="inlineStr">
        <is>
          <t>Research &amp; Development</t>
        </is>
      </c>
      <c r="C254" t="inlineStr">
        <is>
          <t>Laboratory Technician</t>
        </is>
      </c>
      <c r="D254" t="inlineStr">
        <is>
          <t>No</t>
        </is>
      </c>
      <c r="E254" s="8" t="n">
        <v>3669</v>
      </c>
      <c r="F254" s="8">
        <f>E254*Assumptions!$B$7</f>
        <v/>
      </c>
      <c r="G254" s="9" t="n">
        <v>0.1104</v>
      </c>
      <c r="H254" t="inlineStr">
        <is>
          <t>Low</t>
        </is>
      </c>
      <c r="I254">
        <f>IF(G254&gt;=Assumptions!$B$4,"Yes","No")</f>
        <v/>
      </c>
      <c r="J254" s="8">
        <f>F254*Assumptions!$B$6</f>
        <v/>
      </c>
      <c r="K254" s="10">
        <f>G254*J254</f>
        <v/>
      </c>
      <c r="L254" s="10">
        <f>IF(I254="Yes",G254*Assumptions!$B$5*J254,0)</f>
        <v/>
      </c>
    </row>
    <row r="255">
      <c r="A255" t="n">
        <v>382</v>
      </c>
      <c r="B255" t="inlineStr">
        <is>
          <t>Sales</t>
        </is>
      </c>
      <c r="C255" t="inlineStr">
        <is>
          <t>Sales Executive</t>
        </is>
      </c>
      <c r="D255" t="inlineStr">
        <is>
          <t>Yes</t>
        </is>
      </c>
      <c r="E255" s="8" t="n">
        <v>5605</v>
      </c>
      <c r="F255" s="8">
        <f>E255*Assumptions!$B$7</f>
        <v/>
      </c>
      <c r="G255" s="9" t="n">
        <v>0.11</v>
      </c>
      <c r="H255" t="inlineStr">
        <is>
          <t>Low</t>
        </is>
      </c>
      <c r="I255">
        <f>IF(G255&gt;=Assumptions!$B$4,"Yes","No")</f>
        <v/>
      </c>
      <c r="J255" s="8">
        <f>F255*Assumptions!$B$6</f>
        <v/>
      </c>
      <c r="K255" s="10">
        <f>G255*J255</f>
        <v/>
      </c>
      <c r="L255" s="10">
        <f>IF(I255="Yes",G255*Assumptions!$B$5*J255,0)</f>
        <v/>
      </c>
    </row>
    <row r="256">
      <c r="A256" t="n">
        <v>448</v>
      </c>
      <c r="B256" t="inlineStr">
        <is>
          <t>Research &amp; Development</t>
        </is>
      </c>
      <c r="C256" t="inlineStr">
        <is>
          <t>Laboratory Technician</t>
        </is>
      </c>
      <c r="D256" t="inlineStr">
        <is>
          <t>No</t>
        </is>
      </c>
      <c r="E256" s="8" t="n">
        <v>5257</v>
      </c>
      <c r="F256" s="8">
        <f>E256*Assumptions!$B$7</f>
        <v/>
      </c>
      <c r="G256" s="9" t="n">
        <v>0.1095</v>
      </c>
      <c r="H256" t="inlineStr">
        <is>
          <t>Low</t>
        </is>
      </c>
      <c r="I256">
        <f>IF(G256&gt;=Assumptions!$B$4,"Yes","No")</f>
        <v/>
      </c>
      <c r="J256" s="8">
        <f>F256*Assumptions!$B$6</f>
        <v/>
      </c>
      <c r="K256" s="10">
        <f>G256*J256</f>
        <v/>
      </c>
      <c r="L256" s="10">
        <f>IF(I256="Yes",G256*Assumptions!$B$5*J256,0)</f>
        <v/>
      </c>
    </row>
    <row r="257">
      <c r="A257" t="n">
        <v>1440</v>
      </c>
      <c r="B257" t="inlineStr">
        <is>
          <t>Research &amp; Development</t>
        </is>
      </c>
      <c r="C257" t="inlineStr">
        <is>
          <t>Laboratory Technician</t>
        </is>
      </c>
      <c r="D257" t="inlineStr">
        <is>
          <t>No</t>
        </is>
      </c>
      <c r="E257" s="8" t="n">
        <v>3500</v>
      </c>
      <c r="F257" s="8">
        <f>E257*Assumptions!$B$7</f>
        <v/>
      </c>
      <c r="G257" s="9" t="n">
        <v>0.1093</v>
      </c>
      <c r="H257" t="inlineStr">
        <is>
          <t>Low</t>
        </is>
      </c>
      <c r="I257">
        <f>IF(G257&gt;=Assumptions!$B$4,"Yes","No")</f>
        <v/>
      </c>
      <c r="J257" s="8">
        <f>F257*Assumptions!$B$6</f>
        <v/>
      </c>
      <c r="K257" s="10">
        <f>G257*J257</f>
        <v/>
      </c>
      <c r="L257" s="10">
        <f>IF(I257="Yes",G257*Assumptions!$B$5*J257,0)</f>
        <v/>
      </c>
    </row>
    <row r="258">
      <c r="A258" t="n">
        <v>903</v>
      </c>
      <c r="B258" t="inlineStr">
        <is>
          <t>Sales</t>
        </is>
      </c>
      <c r="C258" t="inlineStr">
        <is>
          <t>Sales Executive</t>
        </is>
      </c>
      <c r="D258" t="inlineStr">
        <is>
          <t>Yes</t>
        </is>
      </c>
      <c r="E258" s="8" t="n">
        <v>4537</v>
      </c>
      <c r="F258" s="8">
        <f>E258*Assumptions!$B$7</f>
        <v/>
      </c>
      <c r="G258" s="9" t="n">
        <v>0.1091</v>
      </c>
      <c r="H258" t="inlineStr">
        <is>
          <t>Low</t>
        </is>
      </c>
      <c r="I258">
        <f>IF(G258&gt;=Assumptions!$B$4,"Yes","No")</f>
        <v/>
      </c>
      <c r="J258" s="8">
        <f>F258*Assumptions!$B$6</f>
        <v/>
      </c>
      <c r="K258" s="10">
        <f>G258*J258</f>
        <v/>
      </c>
      <c r="L258" s="10">
        <f>IF(I258="Yes",G258*Assumptions!$B$5*J258,0)</f>
        <v/>
      </c>
    </row>
    <row r="259">
      <c r="A259" t="n">
        <v>1886</v>
      </c>
      <c r="B259" t="inlineStr">
        <is>
          <t>Research &amp; Development</t>
        </is>
      </c>
      <c r="C259" t="inlineStr">
        <is>
          <t>Manufacturing Director</t>
        </is>
      </c>
      <c r="D259" t="inlineStr">
        <is>
          <t>Yes</t>
        </is>
      </c>
      <c r="E259" s="8" t="n">
        <v>4788</v>
      </c>
      <c r="F259" s="8">
        <f>E259*Assumptions!$B$7</f>
        <v/>
      </c>
      <c r="G259" s="9" t="n">
        <v>0.1089</v>
      </c>
      <c r="H259" t="inlineStr">
        <is>
          <t>Low</t>
        </is>
      </c>
      <c r="I259">
        <f>IF(G259&gt;=Assumptions!$B$4,"Yes","No")</f>
        <v/>
      </c>
      <c r="J259" s="8">
        <f>F259*Assumptions!$B$6</f>
        <v/>
      </c>
      <c r="K259" s="10">
        <f>G259*J259</f>
        <v/>
      </c>
      <c r="L259" s="10">
        <f>IF(I259="Yes",G259*Assumptions!$B$5*J259,0)</f>
        <v/>
      </c>
    </row>
    <row r="260">
      <c r="A260" t="n">
        <v>578</v>
      </c>
      <c r="B260" t="inlineStr">
        <is>
          <t>Research &amp; Development</t>
        </is>
      </c>
      <c r="C260" t="inlineStr">
        <is>
          <t>Laboratory Technician</t>
        </is>
      </c>
      <c r="D260" t="inlineStr">
        <is>
          <t>No</t>
        </is>
      </c>
      <c r="E260" s="8" t="n">
        <v>3780</v>
      </c>
      <c r="F260" s="8">
        <f>E260*Assumptions!$B$7</f>
        <v/>
      </c>
      <c r="G260" s="9" t="n">
        <v>0.1089</v>
      </c>
      <c r="H260" t="inlineStr">
        <is>
          <t>Low</t>
        </is>
      </c>
      <c r="I260">
        <f>IF(G260&gt;=Assumptions!$B$4,"Yes","No")</f>
        <v/>
      </c>
      <c r="J260" s="8">
        <f>F260*Assumptions!$B$6</f>
        <v/>
      </c>
      <c r="K260" s="10">
        <f>G260*J260</f>
        <v/>
      </c>
      <c r="L260" s="10">
        <f>IF(I260="Yes",G260*Assumptions!$B$5*J260,0)</f>
        <v/>
      </c>
    </row>
    <row r="261">
      <c r="A261" t="n">
        <v>1965</v>
      </c>
      <c r="B261" t="inlineStr">
        <is>
          <t>Sales</t>
        </is>
      </c>
      <c r="C261" t="inlineStr">
        <is>
          <t>Sales Executive</t>
        </is>
      </c>
      <c r="D261" t="inlineStr">
        <is>
          <t>No</t>
        </is>
      </c>
      <c r="E261" s="8" t="n">
        <v>4105</v>
      </c>
      <c r="F261" s="8">
        <f>E261*Assumptions!$B$7</f>
        <v/>
      </c>
      <c r="G261" s="9" t="n">
        <v>0.1087</v>
      </c>
      <c r="H261" t="inlineStr">
        <is>
          <t>Low</t>
        </is>
      </c>
      <c r="I261">
        <f>IF(G261&gt;=Assumptions!$B$4,"Yes","No")</f>
        <v/>
      </c>
      <c r="J261" s="8">
        <f>F261*Assumptions!$B$6</f>
        <v/>
      </c>
      <c r="K261" s="10">
        <f>G261*J261</f>
        <v/>
      </c>
      <c r="L261" s="10">
        <f>IF(I261="Yes",G261*Assumptions!$B$5*J261,0)</f>
        <v/>
      </c>
    </row>
    <row r="262">
      <c r="A262" t="n">
        <v>728</v>
      </c>
      <c r="B262" t="inlineStr">
        <is>
          <t>Sales</t>
        </is>
      </c>
      <c r="C262" t="inlineStr">
        <is>
          <t>Sales Executive</t>
        </is>
      </c>
      <c r="D262" t="inlineStr">
        <is>
          <t>No</t>
        </is>
      </c>
      <c r="E262" s="8" t="n">
        <v>4960</v>
      </c>
      <c r="F262" s="8">
        <f>E262*Assumptions!$B$7</f>
        <v/>
      </c>
      <c r="G262" s="9" t="n">
        <v>0.1086</v>
      </c>
      <c r="H262" t="inlineStr">
        <is>
          <t>Low</t>
        </is>
      </c>
      <c r="I262">
        <f>IF(G262&gt;=Assumptions!$B$4,"Yes","No")</f>
        <v/>
      </c>
      <c r="J262" s="8">
        <f>F262*Assumptions!$B$6</f>
        <v/>
      </c>
      <c r="K262" s="10">
        <f>G262*J262</f>
        <v/>
      </c>
      <c r="L262" s="10">
        <f>IF(I262="Yes",G262*Assumptions!$B$5*J262,0)</f>
        <v/>
      </c>
    </row>
    <row r="263">
      <c r="A263" t="n">
        <v>547</v>
      </c>
      <c r="B263" t="inlineStr">
        <is>
          <t>Research &amp; Development</t>
        </is>
      </c>
      <c r="C263" t="inlineStr">
        <is>
          <t>Research Scientist</t>
        </is>
      </c>
      <c r="D263" t="inlineStr">
        <is>
          <t>No</t>
        </is>
      </c>
      <c r="E263" s="8" t="n">
        <v>4556</v>
      </c>
      <c r="F263" s="8">
        <f>E263*Assumptions!$B$7</f>
        <v/>
      </c>
      <c r="G263" s="9" t="n">
        <v>0.1084</v>
      </c>
      <c r="H263" t="inlineStr">
        <is>
          <t>Low</t>
        </is>
      </c>
      <c r="I263">
        <f>IF(G263&gt;=Assumptions!$B$4,"Yes","No")</f>
        <v/>
      </c>
      <c r="J263" s="8">
        <f>F263*Assumptions!$B$6</f>
        <v/>
      </c>
      <c r="K263" s="10">
        <f>G263*J263</f>
        <v/>
      </c>
      <c r="L263" s="10">
        <f>IF(I263="Yes",G263*Assumptions!$B$5*J263,0)</f>
        <v/>
      </c>
    </row>
    <row r="264">
      <c r="A264" t="n">
        <v>1233</v>
      </c>
      <c r="B264" t="inlineStr">
        <is>
          <t>Sales</t>
        </is>
      </c>
      <c r="C264" t="inlineStr">
        <is>
          <t>Sales Executive</t>
        </is>
      </c>
      <c r="D264" t="inlineStr">
        <is>
          <t>Yes</t>
        </is>
      </c>
      <c r="E264" s="8" t="n">
        <v>5220</v>
      </c>
      <c r="F264" s="8">
        <f>E264*Assumptions!$B$7</f>
        <v/>
      </c>
      <c r="G264" s="9" t="n">
        <v>0.1082</v>
      </c>
      <c r="H264" t="inlineStr">
        <is>
          <t>Low</t>
        </is>
      </c>
      <c r="I264">
        <f>IF(G264&gt;=Assumptions!$B$4,"Yes","No")</f>
        <v/>
      </c>
      <c r="J264" s="8">
        <f>F264*Assumptions!$B$6</f>
        <v/>
      </c>
      <c r="K264" s="10">
        <f>G264*J264</f>
        <v/>
      </c>
      <c r="L264" s="10">
        <f>IF(I264="Yes",G264*Assumptions!$B$5*J264,0)</f>
        <v/>
      </c>
    </row>
    <row r="265">
      <c r="A265" t="n">
        <v>1324</v>
      </c>
      <c r="B265" t="inlineStr">
        <is>
          <t>Sales</t>
        </is>
      </c>
      <c r="C265" t="inlineStr">
        <is>
          <t>Sales Executive</t>
        </is>
      </c>
      <c r="D265" t="inlineStr">
        <is>
          <t>Yes</t>
        </is>
      </c>
      <c r="E265" s="8" t="n">
        <v>9852</v>
      </c>
      <c r="F265" s="8">
        <f>E265*Assumptions!$B$7</f>
        <v/>
      </c>
      <c r="G265" s="9" t="n">
        <v>0.1075</v>
      </c>
      <c r="H265" t="inlineStr">
        <is>
          <t>Low</t>
        </is>
      </c>
      <c r="I265">
        <f>IF(G265&gt;=Assumptions!$B$4,"Yes","No")</f>
        <v/>
      </c>
      <c r="J265" s="8">
        <f>F265*Assumptions!$B$6</f>
        <v/>
      </c>
      <c r="K265" s="10">
        <f>G265*J265</f>
        <v/>
      </c>
      <c r="L265" s="10">
        <f>IF(I265="Yes",G265*Assumptions!$B$5*J265,0)</f>
        <v/>
      </c>
    </row>
    <row r="266">
      <c r="A266" t="n">
        <v>412</v>
      </c>
      <c r="B266" t="inlineStr">
        <is>
          <t>Research &amp; Development</t>
        </is>
      </c>
      <c r="C266" t="inlineStr">
        <is>
          <t>Healthcare Representative</t>
        </is>
      </c>
      <c r="D266" t="inlineStr">
        <is>
          <t>No</t>
        </is>
      </c>
      <c r="E266" s="8" t="n">
        <v>5661</v>
      </c>
      <c r="F266" s="8">
        <f>E266*Assumptions!$B$7</f>
        <v/>
      </c>
      <c r="G266" s="9" t="n">
        <v>0.1075</v>
      </c>
      <c r="H266" t="inlineStr">
        <is>
          <t>Low</t>
        </is>
      </c>
      <c r="I266">
        <f>IF(G266&gt;=Assumptions!$B$4,"Yes","No")</f>
        <v/>
      </c>
      <c r="J266" s="8">
        <f>F266*Assumptions!$B$6</f>
        <v/>
      </c>
      <c r="K266" s="10">
        <f>G266*J266</f>
        <v/>
      </c>
      <c r="L266" s="10">
        <f>IF(I266="Yes",G266*Assumptions!$B$5*J266,0)</f>
        <v/>
      </c>
    </row>
    <row r="267">
      <c r="A267" t="n">
        <v>1390</v>
      </c>
      <c r="B267" t="inlineStr">
        <is>
          <t>Sales</t>
        </is>
      </c>
      <c r="C267" t="inlineStr">
        <is>
          <t>Sales Executive</t>
        </is>
      </c>
      <c r="D267" t="inlineStr">
        <is>
          <t>Yes</t>
        </is>
      </c>
      <c r="E267" s="8" t="n">
        <v>6120</v>
      </c>
      <c r="F267" s="8">
        <f>E267*Assumptions!$B$7</f>
        <v/>
      </c>
      <c r="G267" s="9" t="n">
        <v>0.1072</v>
      </c>
      <c r="H267" t="inlineStr">
        <is>
          <t>Low</t>
        </is>
      </c>
      <c r="I267">
        <f>IF(G267&gt;=Assumptions!$B$4,"Yes","No")</f>
        <v/>
      </c>
      <c r="J267" s="8">
        <f>F267*Assumptions!$B$6</f>
        <v/>
      </c>
      <c r="K267" s="10">
        <f>G267*J267</f>
        <v/>
      </c>
      <c r="L267" s="10">
        <f>IF(I267="Yes",G267*Assumptions!$B$5*J267,0)</f>
        <v/>
      </c>
    </row>
    <row r="268">
      <c r="A268" t="n">
        <v>53</v>
      </c>
      <c r="B268" t="inlineStr">
        <is>
          <t>Research &amp; Development</t>
        </is>
      </c>
      <c r="C268" t="inlineStr">
        <is>
          <t>Laboratory Technician</t>
        </is>
      </c>
      <c r="D268" t="inlineStr">
        <is>
          <t>No</t>
        </is>
      </c>
      <c r="E268" s="8" t="n">
        <v>1951</v>
      </c>
      <c r="F268" s="8">
        <f>E268*Assumptions!$B$7</f>
        <v/>
      </c>
      <c r="G268" s="9" t="n">
        <v>0.1072</v>
      </c>
      <c r="H268" t="inlineStr">
        <is>
          <t>Low</t>
        </is>
      </c>
      <c r="I268">
        <f>IF(G268&gt;=Assumptions!$B$4,"Yes","No")</f>
        <v/>
      </c>
      <c r="J268" s="8">
        <f>F268*Assumptions!$B$6</f>
        <v/>
      </c>
      <c r="K268" s="10">
        <f>G268*J268</f>
        <v/>
      </c>
      <c r="L268" s="10">
        <f>IF(I268="Yes",G268*Assumptions!$B$5*J268,0)</f>
        <v/>
      </c>
    </row>
    <row r="269">
      <c r="A269" t="n">
        <v>1371</v>
      </c>
      <c r="B269" t="inlineStr">
        <is>
          <t>Sales</t>
        </is>
      </c>
      <c r="C269" t="inlineStr">
        <is>
          <t>Sales Executive</t>
        </is>
      </c>
      <c r="D269" t="inlineStr">
        <is>
          <t>No</t>
        </is>
      </c>
      <c r="E269" s="8" t="n">
        <v>5071</v>
      </c>
      <c r="F269" s="8">
        <f>E269*Assumptions!$B$7</f>
        <v/>
      </c>
      <c r="G269" s="9" t="n">
        <v>0.1071</v>
      </c>
      <c r="H269" t="inlineStr">
        <is>
          <t>Low</t>
        </is>
      </c>
      <c r="I269">
        <f>IF(G269&gt;=Assumptions!$B$4,"Yes","No")</f>
        <v/>
      </c>
      <c r="J269" s="8">
        <f>F269*Assumptions!$B$6</f>
        <v/>
      </c>
      <c r="K269" s="10">
        <f>G269*J269</f>
        <v/>
      </c>
      <c r="L269" s="10">
        <f>IF(I269="Yes",G269*Assumptions!$B$5*J269,0)</f>
        <v/>
      </c>
    </row>
    <row r="270">
      <c r="A270" t="n">
        <v>1411</v>
      </c>
      <c r="B270" t="inlineStr">
        <is>
          <t>Research &amp; Development</t>
        </is>
      </c>
      <c r="C270" t="inlineStr">
        <is>
          <t>Laboratory Technician</t>
        </is>
      </c>
      <c r="D270" t="inlineStr">
        <is>
          <t>No</t>
        </is>
      </c>
      <c r="E270" s="8" t="n">
        <v>3629</v>
      </c>
      <c r="F270" s="8">
        <f>E270*Assumptions!$B$7</f>
        <v/>
      </c>
      <c r="G270" s="9" t="n">
        <v>0.1071</v>
      </c>
      <c r="H270" t="inlineStr">
        <is>
          <t>Low</t>
        </is>
      </c>
      <c r="I270">
        <f>IF(G270&gt;=Assumptions!$B$4,"Yes","No")</f>
        <v/>
      </c>
      <c r="J270" s="8">
        <f>F270*Assumptions!$B$6</f>
        <v/>
      </c>
      <c r="K270" s="10">
        <f>G270*J270</f>
        <v/>
      </c>
      <c r="L270" s="10">
        <f>IF(I270="Yes",G270*Assumptions!$B$5*J270,0)</f>
        <v/>
      </c>
    </row>
    <row r="271">
      <c r="A271" t="n">
        <v>705</v>
      </c>
      <c r="B271" t="inlineStr">
        <is>
          <t>Research &amp; Development</t>
        </is>
      </c>
      <c r="C271" t="inlineStr">
        <is>
          <t>Research Scientist</t>
        </is>
      </c>
      <c r="D271" t="inlineStr">
        <is>
          <t>No</t>
        </is>
      </c>
      <c r="E271" s="8" t="n">
        <v>2819</v>
      </c>
      <c r="F271" s="8">
        <f>E271*Assumptions!$B$7</f>
        <v/>
      </c>
      <c r="G271" s="9" t="n">
        <v>0.1066</v>
      </c>
      <c r="H271" t="inlineStr">
        <is>
          <t>Low</t>
        </is>
      </c>
      <c r="I271">
        <f>IF(G271&gt;=Assumptions!$B$4,"Yes","No")</f>
        <v/>
      </c>
      <c r="J271" s="8">
        <f>F271*Assumptions!$B$6</f>
        <v/>
      </c>
      <c r="K271" s="10">
        <f>G271*J271</f>
        <v/>
      </c>
      <c r="L271" s="10">
        <f>IF(I271="Yes",G271*Assumptions!$B$5*J271,0)</f>
        <v/>
      </c>
    </row>
    <row r="272">
      <c r="A272" t="n">
        <v>1880</v>
      </c>
      <c r="B272" t="inlineStr">
        <is>
          <t>Sales</t>
        </is>
      </c>
      <c r="C272" t="inlineStr">
        <is>
          <t>Sales Executive</t>
        </is>
      </c>
      <c r="D272" t="inlineStr">
        <is>
          <t>Yes</t>
        </is>
      </c>
      <c r="E272" s="8" t="n">
        <v>5673</v>
      </c>
      <c r="F272" s="8">
        <f>E272*Assumptions!$B$7</f>
        <v/>
      </c>
      <c r="G272" s="9" t="n">
        <v>0.1057</v>
      </c>
      <c r="H272" t="inlineStr">
        <is>
          <t>Low</t>
        </is>
      </c>
      <c r="I272">
        <f>IF(G272&gt;=Assumptions!$B$4,"Yes","No")</f>
        <v/>
      </c>
      <c r="J272" s="8">
        <f>F272*Assumptions!$B$6</f>
        <v/>
      </c>
      <c r="K272" s="10">
        <f>G272*J272</f>
        <v/>
      </c>
      <c r="L272" s="10">
        <f>IF(I272="Yes",G272*Assumptions!$B$5*J272,0)</f>
        <v/>
      </c>
    </row>
    <row r="273">
      <c r="A273" t="n">
        <v>597</v>
      </c>
      <c r="B273" t="inlineStr">
        <is>
          <t>Sales</t>
        </is>
      </c>
      <c r="C273" t="inlineStr">
        <is>
          <t>Manager</t>
        </is>
      </c>
      <c r="D273" t="inlineStr">
        <is>
          <t>No</t>
        </is>
      </c>
      <c r="E273" s="8" t="n">
        <v>16835</v>
      </c>
      <c r="F273" s="8">
        <f>E273*Assumptions!$B$7</f>
        <v/>
      </c>
      <c r="G273" s="9" t="n">
        <v>0.1056</v>
      </c>
      <c r="H273" t="inlineStr">
        <is>
          <t>Low</t>
        </is>
      </c>
      <c r="I273">
        <f>IF(G273&gt;=Assumptions!$B$4,"Yes","No")</f>
        <v/>
      </c>
      <c r="J273" s="8">
        <f>F273*Assumptions!$B$6</f>
        <v/>
      </c>
      <c r="K273" s="10">
        <f>G273*J273</f>
        <v/>
      </c>
      <c r="L273" s="10">
        <f>IF(I273="Yes",G273*Assumptions!$B$5*J273,0)</f>
        <v/>
      </c>
    </row>
    <row r="274">
      <c r="A274" t="n">
        <v>1066</v>
      </c>
      <c r="B274" t="inlineStr">
        <is>
          <t>Sales</t>
        </is>
      </c>
      <c r="C274" t="inlineStr">
        <is>
          <t>Sales Executive</t>
        </is>
      </c>
      <c r="D274" t="inlineStr">
        <is>
          <t>No</t>
        </is>
      </c>
      <c r="E274" s="8" t="n">
        <v>8396</v>
      </c>
      <c r="F274" s="8">
        <f>E274*Assumptions!$B$7</f>
        <v/>
      </c>
      <c r="G274" s="9" t="n">
        <v>0.1056</v>
      </c>
      <c r="H274" t="inlineStr">
        <is>
          <t>Low</t>
        </is>
      </c>
      <c r="I274">
        <f>IF(G274&gt;=Assumptions!$B$4,"Yes","No")</f>
        <v/>
      </c>
      <c r="J274" s="8">
        <f>F274*Assumptions!$B$6</f>
        <v/>
      </c>
      <c r="K274" s="10">
        <f>G274*J274</f>
        <v/>
      </c>
      <c r="L274" s="10">
        <f>IF(I274="Yes",G274*Assumptions!$B$5*J274,0)</f>
        <v/>
      </c>
    </row>
    <row r="275">
      <c r="A275" t="n">
        <v>1611</v>
      </c>
      <c r="B275" t="inlineStr">
        <is>
          <t>Research &amp; Development</t>
        </is>
      </c>
      <c r="C275" t="inlineStr">
        <is>
          <t>Laboratory Technician</t>
        </is>
      </c>
      <c r="D275" t="inlineStr">
        <is>
          <t>Yes</t>
        </is>
      </c>
      <c r="E275" s="8" t="n">
        <v>5769</v>
      </c>
      <c r="F275" s="8">
        <f>E275*Assumptions!$B$7</f>
        <v/>
      </c>
      <c r="G275" s="9" t="n">
        <v>0.1051</v>
      </c>
      <c r="H275" t="inlineStr">
        <is>
          <t>Low</t>
        </is>
      </c>
      <c r="I275">
        <f>IF(G275&gt;=Assumptions!$B$4,"Yes","No")</f>
        <v/>
      </c>
      <c r="J275" s="8">
        <f>F275*Assumptions!$B$6</f>
        <v/>
      </c>
      <c r="K275" s="10">
        <f>G275*J275</f>
        <v/>
      </c>
      <c r="L275" s="10">
        <f>IF(I275="Yes",G275*Assumptions!$B$5*J275,0)</f>
        <v/>
      </c>
    </row>
    <row r="276">
      <c r="A276" t="n">
        <v>879</v>
      </c>
      <c r="B276" t="inlineStr">
        <is>
          <t>Sales</t>
        </is>
      </c>
      <c r="C276" t="inlineStr">
        <is>
          <t>Sales Executive</t>
        </is>
      </c>
      <c r="D276" t="inlineStr">
        <is>
          <t>Yes</t>
        </is>
      </c>
      <c r="E276" s="8" t="n">
        <v>4194</v>
      </c>
      <c r="F276" s="8">
        <f>E276*Assumptions!$B$7</f>
        <v/>
      </c>
      <c r="G276" s="9" t="n">
        <v>0.1046</v>
      </c>
      <c r="H276" t="inlineStr">
        <is>
          <t>Low</t>
        </is>
      </c>
      <c r="I276">
        <f>IF(G276&gt;=Assumptions!$B$4,"Yes","No")</f>
        <v/>
      </c>
      <c r="J276" s="8">
        <f>F276*Assumptions!$B$6</f>
        <v/>
      </c>
      <c r="K276" s="10">
        <f>G276*J276</f>
        <v/>
      </c>
      <c r="L276" s="10">
        <f>IF(I276="Yes",G276*Assumptions!$B$5*J276,0)</f>
        <v/>
      </c>
    </row>
    <row r="277">
      <c r="A277" t="n">
        <v>729</v>
      </c>
      <c r="B277" t="inlineStr">
        <is>
          <t>Sales</t>
        </is>
      </c>
      <c r="C277" t="inlineStr">
        <is>
          <t>Sales Executive</t>
        </is>
      </c>
      <c r="D277" t="inlineStr">
        <is>
          <t>Yes</t>
        </is>
      </c>
      <c r="E277" s="8" t="n">
        <v>10475</v>
      </c>
      <c r="F277" s="8">
        <f>E277*Assumptions!$B$7</f>
        <v/>
      </c>
      <c r="G277" s="9" t="n">
        <v>0.1037</v>
      </c>
      <c r="H277" t="inlineStr">
        <is>
          <t>Low</t>
        </is>
      </c>
      <c r="I277">
        <f>IF(G277&gt;=Assumptions!$B$4,"Yes","No")</f>
        <v/>
      </c>
      <c r="J277" s="8">
        <f>F277*Assumptions!$B$6</f>
        <v/>
      </c>
      <c r="K277" s="10">
        <f>G277*J277</f>
        <v/>
      </c>
      <c r="L277" s="10">
        <f>IF(I277="Yes",G277*Assumptions!$B$5*J277,0)</f>
        <v/>
      </c>
    </row>
    <row r="278">
      <c r="A278" t="n">
        <v>1927</v>
      </c>
      <c r="B278" t="inlineStr">
        <is>
          <t>Sales</t>
        </is>
      </c>
      <c r="C278" t="inlineStr">
        <is>
          <t>Sales Executive</t>
        </is>
      </c>
      <c r="D278" t="inlineStr">
        <is>
          <t>Yes</t>
        </is>
      </c>
      <c r="E278" s="8" t="n">
        <v>6834</v>
      </c>
      <c r="F278" s="8">
        <f>E278*Assumptions!$B$7</f>
        <v/>
      </c>
      <c r="G278" s="9" t="n">
        <v>0.1036</v>
      </c>
      <c r="H278" t="inlineStr">
        <is>
          <t>Low</t>
        </is>
      </c>
      <c r="I278">
        <f>IF(G278&gt;=Assumptions!$B$4,"Yes","No")</f>
        <v/>
      </c>
      <c r="J278" s="8">
        <f>F278*Assumptions!$B$6</f>
        <v/>
      </c>
      <c r="K278" s="10">
        <f>G278*J278</f>
        <v/>
      </c>
      <c r="L278" s="10">
        <f>IF(I278="Yes",G278*Assumptions!$B$5*J278,0)</f>
        <v/>
      </c>
    </row>
    <row r="279">
      <c r="A279" t="n">
        <v>1549</v>
      </c>
      <c r="B279" t="inlineStr">
        <is>
          <t>Research &amp; Development</t>
        </is>
      </c>
      <c r="C279" t="inlineStr">
        <is>
          <t>Laboratory Technician</t>
        </is>
      </c>
      <c r="D279" t="inlineStr">
        <is>
          <t>Yes</t>
        </is>
      </c>
      <c r="E279" s="8" t="n">
        <v>5207</v>
      </c>
      <c r="F279" s="8">
        <f>E279*Assumptions!$B$7</f>
        <v/>
      </c>
      <c r="G279" s="9" t="n">
        <v>0.1031</v>
      </c>
      <c r="H279" t="inlineStr">
        <is>
          <t>Low</t>
        </is>
      </c>
      <c r="I279">
        <f>IF(G279&gt;=Assumptions!$B$4,"Yes","No")</f>
        <v/>
      </c>
      <c r="J279" s="8">
        <f>F279*Assumptions!$B$6</f>
        <v/>
      </c>
      <c r="K279" s="10">
        <f>G279*J279</f>
        <v/>
      </c>
      <c r="L279" s="10">
        <f>IF(I279="Yes",G279*Assumptions!$B$5*J279,0)</f>
        <v/>
      </c>
    </row>
    <row r="280">
      <c r="A280" t="n">
        <v>1850</v>
      </c>
      <c r="B280" t="inlineStr">
        <is>
          <t>Research &amp; Development</t>
        </is>
      </c>
      <c r="C280" t="inlineStr">
        <is>
          <t>Laboratory Technician</t>
        </is>
      </c>
      <c r="D280" t="inlineStr">
        <is>
          <t>Yes</t>
        </is>
      </c>
      <c r="E280" s="8" t="n">
        <v>2379</v>
      </c>
      <c r="F280" s="8">
        <f>E280*Assumptions!$B$7</f>
        <v/>
      </c>
      <c r="G280" s="9" t="n">
        <v>0.103</v>
      </c>
      <c r="H280" t="inlineStr">
        <is>
          <t>Low</t>
        </is>
      </c>
      <c r="I280">
        <f>IF(G280&gt;=Assumptions!$B$4,"Yes","No")</f>
        <v/>
      </c>
      <c r="J280" s="8">
        <f>F280*Assumptions!$B$6</f>
        <v/>
      </c>
      <c r="K280" s="10">
        <f>G280*J280</f>
        <v/>
      </c>
      <c r="L280" s="10">
        <f>IF(I280="Yes",G280*Assumptions!$B$5*J280,0)</f>
        <v/>
      </c>
    </row>
    <row r="281">
      <c r="A281" t="n">
        <v>2045</v>
      </c>
      <c r="B281" t="inlineStr">
        <is>
          <t>Sales</t>
        </is>
      </c>
      <c r="C281" t="inlineStr">
        <is>
          <t>Sales Executive</t>
        </is>
      </c>
      <c r="D281" t="inlineStr">
        <is>
          <t>No</t>
        </is>
      </c>
      <c r="E281" s="8" t="n">
        <v>6652</v>
      </c>
      <c r="F281" s="8">
        <f>E281*Assumptions!$B$7</f>
        <v/>
      </c>
      <c r="G281" s="9" t="n">
        <v>0.1025</v>
      </c>
      <c r="H281" t="inlineStr">
        <is>
          <t>Low</t>
        </is>
      </c>
      <c r="I281">
        <f>IF(G281&gt;=Assumptions!$B$4,"Yes","No")</f>
        <v/>
      </c>
      <c r="J281" s="8">
        <f>F281*Assumptions!$B$6</f>
        <v/>
      </c>
      <c r="K281" s="10">
        <f>G281*J281</f>
        <v/>
      </c>
      <c r="L281" s="10">
        <f>IF(I281="Yes",G281*Assumptions!$B$5*J281,0)</f>
        <v/>
      </c>
    </row>
    <row r="282">
      <c r="A282" t="n">
        <v>897</v>
      </c>
      <c r="B282" t="inlineStr">
        <is>
          <t>Sales</t>
        </is>
      </c>
      <c r="C282" t="inlineStr">
        <is>
          <t>Sales Executive</t>
        </is>
      </c>
      <c r="D282" t="inlineStr">
        <is>
          <t>No</t>
        </is>
      </c>
      <c r="E282" s="8" t="n">
        <v>11836</v>
      </c>
      <c r="F282" s="8">
        <f>E282*Assumptions!$B$7</f>
        <v/>
      </c>
      <c r="G282" s="9" t="n">
        <v>0.1023</v>
      </c>
      <c r="H282" t="inlineStr">
        <is>
          <t>Low</t>
        </is>
      </c>
      <c r="I282">
        <f>IF(G282&gt;=Assumptions!$B$4,"Yes","No")</f>
        <v/>
      </c>
      <c r="J282" s="8">
        <f>F282*Assumptions!$B$6</f>
        <v/>
      </c>
      <c r="K282" s="10">
        <f>G282*J282</f>
        <v/>
      </c>
      <c r="L282" s="10">
        <f>IF(I282="Yes",G282*Assumptions!$B$5*J282,0)</f>
        <v/>
      </c>
    </row>
    <row r="283">
      <c r="A283" t="n">
        <v>1019</v>
      </c>
      <c r="B283" t="inlineStr">
        <is>
          <t>Research &amp; Development</t>
        </is>
      </c>
      <c r="C283" t="inlineStr">
        <is>
          <t>Laboratory Technician</t>
        </is>
      </c>
      <c r="D283" t="inlineStr">
        <is>
          <t>No</t>
        </is>
      </c>
      <c r="E283" s="8" t="n">
        <v>2451</v>
      </c>
      <c r="F283" s="8">
        <f>E283*Assumptions!$B$7</f>
        <v/>
      </c>
      <c r="G283" s="9" t="n">
        <v>0.1019</v>
      </c>
      <c r="H283" t="inlineStr">
        <is>
          <t>Low</t>
        </is>
      </c>
      <c r="I283">
        <f>IF(G283&gt;=Assumptions!$B$4,"Yes","No")</f>
        <v/>
      </c>
      <c r="J283" s="8">
        <f>F283*Assumptions!$B$6</f>
        <v/>
      </c>
      <c r="K283" s="10">
        <f>G283*J283</f>
        <v/>
      </c>
      <c r="L283" s="10">
        <f>IF(I283="Yes",G283*Assumptions!$B$5*J283,0)</f>
        <v/>
      </c>
    </row>
    <row r="284">
      <c r="A284" t="n">
        <v>286</v>
      </c>
      <c r="B284" t="inlineStr">
        <is>
          <t>Research &amp; Development</t>
        </is>
      </c>
      <c r="C284" t="inlineStr">
        <is>
          <t>Laboratory Technician</t>
        </is>
      </c>
      <c r="D284" t="inlineStr">
        <is>
          <t>No</t>
        </is>
      </c>
      <c r="E284" s="8" t="n">
        <v>2153</v>
      </c>
      <c r="F284" s="8">
        <f>E284*Assumptions!$B$7</f>
        <v/>
      </c>
      <c r="G284" s="9" t="n">
        <v>0.1017</v>
      </c>
      <c r="H284" t="inlineStr">
        <is>
          <t>Low</t>
        </is>
      </c>
      <c r="I284">
        <f>IF(G284&gt;=Assumptions!$B$4,"Yes","No")</f>
        <v/>
      </c>
      <c r="J284" s="8">
        <f>F284*Assumptions!$B$6</f>
        <v/>
      </c>
      <c r="K284" s="10">
        <f>G284*J284</f>
        <v/>
      </c>
      <c r="L284" s="10">
        <f>IF(I284="Yes",G284*Assumptions!$B$5*J284,0)</f>
        <v/>
      </c>
    </row>
    <row r="285">
      <c r="A285" t="n">
        <v>2009</v>
      </c>
      <c r="B285" t="inlineStr">
        <is>
          <t>Research &amp; Development</t>
        </is>
      </c>
      <c r="C285" t="inlineStr">
        <is>
          <t>Healthcare Representative</t>
        </is>
      </c>
      <c r="D285" t="inlineStr">
        <is>
          <t>Yes</t>
        </is>
      </c>
      <c r="E285" s="8" t="n">
        <v>4878</v>
      </c>
      <c r="F285" s="8">
        <f>E285*Assumptions!$B$7</f>
        <v/>
      </c>
      <c r="G285" s="9" t="n">
        <v>0.1017</v>
      </c>
      <c r="H285" t="inlineStr">
        <is>
          <t>Low</t>
        </is>
      </c>
      <c r="I285">
        <f>IF(G285&gt;=Assumptions!$B$4,"Yes","No")</f>
        <v/>
      </c>
      <c r="J285" s="8">
        <f>F285*Assumptions!$B$6</f>
        <v/>
      </c>
      <c r="K285" s="10">
        <f>G285*J285</f>
        <v/>
      </c>
      <c r="L285" s="10">
        <f>IF(I285="Yes",G285*Assumptions!$B$5*J285,0)</f>
        <v/>
      </c>
    </row>
    <row r="286">
      <c r="A286" t="n">
        <v>57</v>
      </c>
      <c r="B286" t="inlineStr">
        <is>
          <t>Research &amp; Development</t>
        </is>
      </c>
      <c r="C286" t="inlineStr">
        <is>
          <t>Laboratory Technician</t>
        </is>
      </c>
      <c r="D286" t="inlineStr">
        <is>
          <t>No</t>
        </is>
      </c>
      <c r="E286" s="8" t="n">
        <v>4011</v>
      </c>
      <c r="F286" s="8">
        <f>E286*Assumptions!$B$7</f>
        <v/>
      </c>
      <c r="G286" s="9" t="n">
        <v>0.1012</v>
      </c>
      <c r="H286" t="inlineStr">
        <is>
          <t>Low</t>
        </is>
      </c>
      <c r="I286">
        <f>IF(G286&gt;=Assumptions!$B$4,"Yes","No")</f>
        <v/>
      </c>
      <c r="J286" s="8">
        <f>F286*Assumptions!$B$6</f>
        <v/>
      </c>
      <c r="K286" s="10">
        <f>G286*J286</f>
        <v/>
      </c>
      <c r="L286" s="10">
        <f>IF(I286="Yes",G286*Assumptions!$B$5*J286,0)</f>
        <v/>
      </c>
    </row>
    <row r="287">
      <c r="A287" t="n">
        <v>1816</v>
      </c>
      <c r="B287" t="inlineStr">
        <is>
          <t>Research &amp; Development</t>
        </is>
      </c>
      <c r="C287" t="inlineStr">
        <is>
          <t>Manufacturing Director</t>
        </is>
      </c>
      <c r="D287" t="inlineStr">
        <is>
          <t>No</t>
        </is>
      </c>
      <c r="E287" s="8" t="n">
        <v>9667</v>
      </c>
      <c r="F287" s="8">
        <f>E287*Assumptions!$B$7</f>
        <v/>
      </c>
      <c r="G287" s="9" t="n">
        <v>0.1011</v>
      </c>
      <c r="H287" t="inlineStr">
        <is>
          <t>Low</t>
        </is>
      </c>
      <c r="I287">
        <f>IF(G287&gt;=Assumptions!$B$4,"Yes","No")</f>
        <v/>
      </c>
      <c r="J287" s="8">
        <f>F287*Assumptions!$B$6</f>
        <v/>
      </c>
      <c r="K287" s="10">
        <f>G287*J287</f>
        <v/>
      </c>
      <c r="L287" s="10">
        <f>IF(I287="Yes",G287*Assumptions!$B$5*J287,0)</f>
        <v/>
      </c>
    </row>
    <row r="288">
      <c r="A288" t="n">
        <v>939</v>
      </c>
      <c r="B288" t="inlineStr">
        <is>
          <t>Research &amp; Development</t>
        </is>
      </c>
      <c r="C288" t="inlineStr">
        <is>
          <t>Research Scientist</t>
        </is>
      </c>
      <c r="D288" t="inlineStr">
        <is>
          <t>Yes</t>
        </is>
      </c>
      <c r="E288" s="8" t="n">
        <v>2799</v>
      </c>
      <c r="F288" s="8">
        <f>E288*Assumptions!$B$7</f>
        <v/>
      </c>
      <c r="G288" s="9" t="n">
        <v>0.1009</v>
      </c>
      <c r="H288" t="inlineStr">
        <is>
          <t>Low</t>
        </is>
      </c>
      <c r="I288">
        <f>IF(G288&gt;=Assumptions!$B$4,"Yes","No")</f>
        <v/>
      </c>
      <c r="J288" s="8">
        <f>F288*Assumptions!$B$6</f>
        <v/>
      </c>
      <c r="K288" s="10">
        <f>G288*J288</f>
        <v/>
      </c>
      <c r="L288" s="10">
        <f>IF(I288="Yes",G288*Assumptions!$B$5*J288,0)</f>
        <v/>
      </c>
    </row>
    <row r="289">
      <c r="A289" t="n">
        <v>605</v>
      </c>
      <c r="B289" t="inlineStr">
        <is>
          <t>Research &amp; Development</t>
        </is>
      </c>
      <c r="C289" t="inlineStr">
        <is>
          <t>Manufacturing Director</t>
        </is>
      </c>
      <c r="D289" t="inlineStr">
        <is>
          <t>Yes</t>
        </is>
      </c>
      <c r="E289" s="8" t="n">
        <v>7406</v>
      </c>
      <c r="F289" s="8">
        <f>E289*Assumptions!$B$7</f>
        <v/>
      </c>
      <c r="G289" s="9" t="n">
        <v>0.1008</v>
      </c>
      <c r="H289" t="inlineStr">
        <is>
          <t>Low</t>
        </is>
      </c>
      <c r="I289">
        <f>IF(G289&gt;=Assumptions!$B$4,"Yes","No")</f>
        <v/>
      </c>
      <c r="J289" s="8">
        <f>F289*Assumptions!$B$6</f>
        <v/>
      </c>
      <c r="K289" s="10">
        <f>G289*J289</f>
        <v/>
      </c>
      <c r="L289" s="10">
        <f>IF(I289="Yes",G289*Assumptions!$B$5*J289,0)</f>
        <v/>
      </c>
    </row>
    <row r="290">
      <c r="A290" t="n">
        <v>1615</v>
      </c>
      <c r="B290" t="inlineStr">
        <is>
          <t>Research &amp; Development</t>
        </is>
      </c>
      <c r="C290" t="inlineStr">
        <is>
          <t>Manufacturing Director</t>
        </is>
      </c>
      <c r="D290" t="inlineStr">
        <is>
          <t>No</t>
        </is>
      </c>
      <c r="E290" s="8" t="n">
        <v>4724</v>
      </c>
      <c r="F290" s="8">
        <f>E290*Assumptions!$B$7</f>
        <v/>
      </c>
      <c r="G290" s="9" t="n">
        <v>0.1008</v>
      </c>
      <c r="H290" t="inlineStr">
        <is>
          <t>Low</t>
        </is>
      </c>
      <c r="I290">
        <f>IF(G290&gt;=Assumptions!$B$4,"Yes","No")</f>
        <v/>
      </c>
      <c r="J290" s="8">
        <f>F290*Assumptions!$B$6</f>
        <v/>
      </c>
      <c r="K290" s="10">
        <f>G290*J290</f>
        <v/>
      </c>
      <c r="L290" s="10">
        <f>IF(I290="Yes",G290*Assumptions!$B$5*J290,0)</f>
        <v/>
      </c>
    </row>
    <row r="291">
      <c r="A291" t="n">
        <v>1164</v>
      </c>
      <c r="B291" t="inlineStr">
        <is>
          <t>Human Resources</t>
        </is>
      </c>
      <c r="C291" t="inlineStr">
        <is>
          <t>Human Resources</t>
        </is>
      </c>
      <c r="D291" t="inlineStr">
        <is>
          <t>No</t>
        </is>
      </c>
      <c r="E291" s="8" t="n">
        <v>4323</v>
      </c>
      <c r="F291" s="8">
        <f>E291*Assumptions!$B$7</f>
        <v/>
      </c>
      <c r="G291" s="9" t="n">
        <v>0.1003</v>
      </c>
      <c r="H291" t="inlineStr">
        <is>
          <t>Low</t>
        </is>
      </c>
      <c r="I291">
        <f>IF(G291&gt;=Assumptions!$B$4,"Yes","No")</f>
        <v/>
      </c>
      <c r="J291" s="8">
        <f>F291*Assumptions!$B$6</f>
        <v/>
      </c>
      <c r="K291" s="10">
        <f>G291*J291</f>
        <v/>
      </c>
      <c r="L291" s="10">
        <f>IF(I291="Yes",G291*Assumptions!$B$5*J291,0)</f>
        <v/>
      </c>
    </row>
    <row r="292">
      <c r="A292" t="n">
        <v>204</v>
      </c>
      <c r="B292" t="inlineStr">
        <is>
          <t>Sales</t>
        </is>
      </c>
      <c r="C292" t="inlineStr">
        <is>
          <t>Sales Executive</t>
        </is>
      </c>
      <c r="D292" t="inlineStr">
        <is>
          <t>No</t>
        </is>
      </c>
      <c r="E292" s="8" t="n">
        <v>7295</v>
      </c>
      <c r="F292" s="8">
        <f>E292*Assumptions!$B$7</f>
        <v/>
      </c>
      <c r="G292" s="9" t="n">
        <v>0.1001</v>
      </c>
      <c r="H292" t="inlineStr">
        <is>
          <t>Low</t>
        </is>
      </c>
      <c r="I292">
        <f>IF(G292&gt;=Assumptions!$B$4,"Yes","No")</f>
        <v/>
      </c>
      <c r="J292" s="8">
        <f>F292*Assumptions!$B$6</f>
        <v/>
      </c>
      <c r="K292" s="10">
        <f>G292*J292</f>
        <v/>
      </c>
      <c r="L292" s="10">
        <f>IF(I292="Yes",G292*Assumptions!$B$5*J292,0)</f>
        <v/>
      </c>
    </row>
    <row r="293">
      <c r="A293" t="n">
        <v>1708</v>
      </c>
      <c r="B293" t="inlineStr">
        <is>
          <t>Sales</t>
        </is>
      </c>
      <c r="C293" t="inlineStr">
        <is>
          <t>Sales Executive</t>
        </is>
      </c>
      <c r="D293" t="inlineStr">
        <is>
          <t>No</t>
        </is>
      </c>
      <c r="E293" s="8" t="n">
        <v>9241</v>
      </c>
      <c r="F293" s="8">
        <f>E293*Assumptions!$B$7</f>
        <v/>
      </c>
      <c r="G293" s="9" t="n">
        <v>0.1</v>
      </c>
      <c r="H293" t="inlineStr">
        <is>
          <t>Low</t>
        </is>
      </c>
      <c r="I293">
        <f>IF(G293&gt;=Assumptions!$B$4,"Yes","No")</f>
        <v/>
      </c>
      <c r="J293" s="8">
        <f>F293*Assumptions!$B$6</f>
        <v/>
      </c>
      <c r="K293" s="10">
        <f>G293*J293</f>
        <v/>
      </c>
      <c r="L293" s="10">
        <f>IF(I293="Yes",G293*Assumptions!$B$5*J293,0)</f>
        <v/>
      </c>
    </row>
    <row r="294">
      <c r="A294" t="n">
        <v>240</v>
      </c>
      <c r="B294" t="inlineStr">
        <is>
          <t>Sales</t>
        </is>
      </c>
      <c r="C294" t="inlineStr">
        <is>
          <t>Sales Executive</t>
        </is>
      </c>
      <c r="D294" t="inlineStr">
        <is>
          <t>Yes</t>
        </is>
      </c>
      <c r="E294" s="8" t="n">
        <v>5006</v>
      </c>
      <c r="F294" s="8">
        <f>E294*Assumptions!$B$7</f>
        <v/>
      </c>
      <c r="G294" s="9" t="n">
        <v>0.1</v>
      </c>
      <c r="H294" t="inlineStr">
        <is>
          <t>Low</t>
        </is>
      </c>
      <c r="I294">
        <f>IF(G294&gt;=Assumptions!$B$4,"Yes","No")</f>
        <v/>
      </c>
      <c r="J294" s="8">
        <f>F294*Assumptions!$B$6</f>
        <v/>
      </c>
      <c r="K294" s="10">
        <f>G294*J294</f>
        <v/>
      </c>
      <c r="L294" s="10">
        <f>IF(I294="Yes",G294*Assumptions!$B$5*J294,0)</f>
        <v/>
      </c>
    </row>
    <row r="295">
      <c r="A295" t="n">
        <v>1614</v>
      </c>
      <c r="B295" t="inlineStr">
        <is>
          <t>Research &amp; Development</t>
        </is>
      </c>
      <c r="C295" t="inlineStr">
        <is>
          <t>Manufacturing Director</t>
        </is>
      </c>
      <c r="D295" t="inlineStr">
        <is>
          <t>Yes</t>
        </is>
      </c>
      <c r="E295" s="8" t="n">
        <v>4663</v>
      </c>
      <c r="F295" s="8">
        <f>E295*Assumptions!$B$7</f>
        <v/>
      </c>
      <c r="G295" s="9" t="n">
        <v>0.0998</v>
      </c>
      <c r="H295" t="inlineStr">
        <is>
          <t>Low</t>
        </is>
      </c>
      <c r="I295">
        <f>IF(G295&gt;=Assumptions!$B$4,"Yes","No")</f>
        <v/>
      </c>
      <c r="J295" s="8">
        <f>F295*Assumptions!$B$6</f>
        <v/>
      </c>
      <c r="K295" s="10">
        <f>G295*J295</f>
        <v/>
      </c>
      <c r="L295" s="10">
        <f>IF(I295="Yes",G295*Assumptions!$B$5*J295,0)</f>
        <v/>
      </c>
    </row>
    <row r="296">
      <c r="A296" t="n">
        <v>878</v>
      </c>
      <c r="B296" t="inlineStr">
        <is>
          <t>Human Resources</t>
        </is>
      </c>
      <c r="C296" t="inlineStr">
        <is>
          <t>Human Resources</t>
        </is>
      </c>
      <c r="D296" t="inlineStr">
        <is>
          <t>No</t>
        </is>
      </c>
      <c r="E296" s="8" t="n">
        <v>2342</v>
      </c>
      <c r="F296" s="8">
        <f>E296*Assumptions!$B$7</f>
        <v/>
      </c>
      <c r="G296" s="9" t="n">
        <v>0.09950000000000001</v>
      </c>
      <c r="H296" t="inlineStr">
        <is>
          <t>Low</t>
        </is>
      </c>
      <c r="I296">
        <f>IF(G296&gt;=Assumptions!$B$4,"Yes","No")</f>
        <v/>
      </c>
      <c r="J296" s="8">
        <f>F296*Assumptions!$B$6</f>
        <v/>
      </c>
      <c r="K296" s="10">
        <f>G296*J296</f>
        <v/>
      </c>
      <c r="L296" s="10">
        <f>IF(I296="Yes",G296*Assumptions!$B$5*J296,0)</f>
        <v/>
      </c>
    </row>
    <row r="297">
      <c r="A297" t="n">
        <v>362</v>
      </c>
      <c r="B297" t="inlineStr">
        <is>
          <t>Research &amp; Development</t>
        </is>
      </c>
      <c r="C297" t="inlineStr">
        <is>
          <t>Laboratory Technician</t>
        </is>
      </c>
      <c r="D297" t="inlineStr">
        <is>
          <t>No</t>
        </is>
      </c>
      <c r="E297" s="8" t="n">
        <v>2176</v>
      </c>
      <c r="F297" s="8">
        <f>E297*Assumptions!$B$7</f>
        <v/>
      </c>
      <c r="G297" s="9" t="n">
        <v>0.0988</v>
      </c>
      <c r="H297" t="inlineStr">
        <is>
          <t>Low</t>
        </is>
      </c>
      <c r="I297">
        <f>IF(G297&gt;=Assumptions!$B$4,"Yes","No")</f>
        <v/>
      </c>
      <c r="J297" s="8">
        <f>F297*Assumptions!$B$6</f>
        <v/>
      </c>
      <c r="K297" s="10">
        <f>G297*J297</f>
        <v/>
      </c>
      <c r="L297" s="10">
        <f>IF(I297="Yes",G297*Assumptions!$B$5*J297,0)</f>
        <v/>
      </c>
    </row>
    <row r="298">
      <c r="A298" t="n">
        <v>1587</v>
      </c>
      <c r="B298" t="inlineStr">
        <is>
          <t>Research &amp; Development</t>
        </is>
      </c>
      <c r="C298" t="inlineStr">
        <is>
          <t>Healthcare Representative</t>
        </is>
      </c>
      <c r="D298" t="inlineStr">
        <is>
          <t>Yes</t>
        </is>
      </c>
      <c r="E298" s="8" t="n">
        <v>6142</v>
      </c>
      <c r="F298" s="8">
        <f>E298*Assumptions!$B$7</f>
        <v/>
      </c>
      <c r="G298" s="9" t="n">
        <v>0.0983</v>
      </c>
      <c r="H298" t="inlineStr">
        <is>
          <t>Low</t>
        </is>
      </c>
      <c r="I298">
        <f>IF(G298&gt;=Assumptions!$B$4,"Yes","No")</f>
        <v/>
      </c>
      <c r="J298" s="8">
        <f>F298*Assumptions!$B$6</f>
        <v/>
      </c>
      <c r="K298" s="10">
        <f>G298*J298</f>
        <v/>
      </c>
      <c r="L298" s="10">
        <f>IF(I298="Yes",G298*Assumptions!$B$5*J298,0)</f>
        <v/>
      </c>
    </row>
    <row r="299">
      <c r="A299" t="n">
        <v>641</v>
      </c>
      <c r="B299" t="inlineStr">
        <is>
          <t>Sales</t>
        </is>
      </c>
      <c r="C299" t="inlineStr">
        <is>
          <t>Sales Executive</t>
        </is>
      </c>
      <c r="D299" t="inlineStr">
        <is>
          <t>No</t>
        </is>
      </c>
      <c r="E299" s="8" t="n">
        <v>6272</v>
      </c>
      <c r="F299" s="8">
        <f>E299*Assumptions!$B$7</f>
        <v/>
      </c>
      <c r="G299" s="9" t="n">
        <v>0.0978</v>
      </c>
      <c r="H299" t="inlineStr">
        <is>
          <t>Low</t>
        </is>
      </c>
      <c r="I299">
        <f>IF(G299&gt;=Assumptions!$B$4,"Yes","No")</f>
        <v/>
      </c>
      <c r="J299" s="8">
        <f>F299*Assumptions!$B$6</f>
        <v/>
      </c>
      <c r="K299" s="10">
        <f>G299*J299</f>
        <v/>
      </c>
      <c r="L299" s="10">
        <f>IF(I299="Yes",G299*Assumptions!$B$5*J299,0)</f>
        <v/>
      </c>
    </row>
    <row r="300">
      <c r="A300" t="n">
        <v>1826</v>
      </c>
      <c r="B300" t="inlineStr">
        <is>
          <t>Research &amp; Development</t>
        </is>
      </c>
      <c r="C300" t="inlineStr">
        <is>
          <t>Laboratory Technician</t>
        </is>
      </c>
      <c r="D300" t="inlineStr">
        <is>
          <t>No</t>
        </is>
      </c>
      <c r="E300" s="8" t="n">
        <v>2705</v>
      </c>
      <c r="F300" s="8">
        <f>E300*Assumptions!$B$7</f>
        <v/>
      </c>
      <c r="G300" s="9" t="n">
        <v>0.09719999999999999</v>
      </c>
      <c r="H300" t="inlineStr">
        <is>
          <t>Low</t>
        </is>
      </c>
      <c r="I300">
        <f>IF(G300&gt;=Assumptions!$B$4,"Yes","No")</f>
        <v/>
      </c>
      <c r="J300" s="8">
        <f>F300*Assumptions!$B$6</f>
        <v/>
      </c>
      <c r="K300" s="10">
        <f>G300*J300</f>
        <v/>
      </c>
      <c r="L300" s="10">
        <f>IF(I300="Yes",G300*Assumptions!$B$5*J300,0)</f>
        <v/>
      </c>
    </row>
    <row r="301">
      <c r="A301" t="n">
        <v>662</v>
      </c>
      <c r="B301" t="inlineStr">
        <is>
          <t>Research &amp; Development</t>
        </is>
      </c>
      <c r="C301" t="inlineStr">
        <is>
          <t>Research Scientist</t>
        </is>
      </c>
      <c r="D301" t="inlineStr">
        <is>
          <t>No</t>
        </is>
      </c>
      <c r="E301" s="8" t="n">
        <v>2619</v>
      </c>
      <c r="F301" s="8">
        <f>E301*Assumptions!$B$7</f>
        <v/>
      </c>
      <c r="G301" s="9" t="n">
        <v>0.09719999999999999</v>
      </c>
      <c r="H301" t="inlineStr">
        <is>
          <t>Low</t>
        </is>
      </c>
      <c r="I301">
        <f>IF(G301&gt;=Assumptions!$B$4,"Yes","No")</f>
        <v/>
      </c>
      <c r="J301" s="8">
        <f>F301*Assumptions!$B$6</f>
        <v/>
      </c>
      <c r="K301" s="10">
        <f>G301*J301</f>
        <v/>
      </c>
      <c r="L301" s="10">
        <f>IF(I301="Yes",G301*Assumptions!$B$5*J301,0)</f>
        <v/>
      </c>
    </row>
    <row r="302">
      <c r="A302" t="n">
        <v>789</v>
      </c>
      <c r="B302" t="inlineStr">
        <is>
          <t>Sales</t>
        </is>
      </c>
      <c r="C302" t="inlineStr">
        <is>
          <t>Sales Executive</t>
        </is>
      </c>
      <c r="D302" t="inlineStr">
        <is>
          <t>No</t>
        </is>
      </c>
      <c r="E302" s="8" t="n">
        <v>7587</v>
      </c>
      <c r="F302" s="8">
        <f>E302*Assumptions!$B$7</f>
        <v/>
      </c>
      <c r="G302" s="9" t="n">
        <v>0.0969</v>
      </c>
      <c r="H302" t="inlineStr">
        <is>
          <t>Low</t>
        </is>
      </c>
      <c r="I302">
        <f>IF(G302&gt;=Assumptions!$B$4,"Yes","No")</f>
        <v/>
      </c>
      <c r="J302" s="8">
        <f>F302*Assumptions!$B$6</f>
        <v/>
      </c>
      <c r="K302" s="10">
        <f>G302*J302</f>
        <v/>
      </c>
      <c r="L302" s="10">
        <f>IF(I302="Yes",G302*Assumptions!$B$5*J302,0)</f>
        <v/>
      </c>
    </row>
    <row r="303">
      <c r="A303" t="n">
        <v>273</v>
      </c>
      <c r="B303" t="inlineStr">
        <is>
          <t>Research &amp; Development</t>
        </is>
      </c>
      <c r="C303" t="inlineStr">
        <is>
          <t>Manufacturing Director</t>
        </is>
      </c>
      <c r="D303" t="inlineStr">
        <is>
          <t>No</t>
        </is>
      </c>
      <c r="E303" s="8" t="n">
        <v>6261</v>
      </c>
      <c r="F303" s="8">
        <f>E303*Assumptions!$B$7</f>
        <v/>
      </c>
      <c r="G303" s="9" t="n">
        <v>0.0968</v>
      </c>
      <c r="H303" t="inlineStr">
        <is>
          <t>Low</t>
        </is>
      </c>
      <c r="I303">
        <f>IF(G303&gt;=Assumptions!$B$4,"Yes","No")</f>
        <v/>
      </c>
      <c r="J303" s="8">
        <f>F303*Assumptions!$B$6</f>
        <v/>
      </c>
      <c r="K303" s="10">
        <f>G303*J303</f>
        <v/>
      </c>
      <c r="L303" s="10">
        <f>IF(I303="Yes",G303*Assumptions!$B$5*J303,0)</f>
        <v/>
      </c>
    </row>
    <row r="304">
      <c r="A304" t="n">
        <v>1218</v>
      </c>
      <c r="B304" t="inlineStr">
        <is>
          <t>Sales</t>
        </is>
      </c>
      <c r="C304" t="inlineStr">
        <is>
          <t>Sales Executive</t>
        </is>
      </c>
      <c r="D304" t="inlineStr">
        <is>
          <t>Yes</t>
        </is>
      </c>
      <c r="E304" s="8" t="n">
        <v>8966</v>
      </c>
      <c r="F304" s="8">
        <f>E304*Assumptions!$B$7</f>
        <v/>
      </c>
      <c r="G304" s="9" t="n">
        <v>0.0968</v>
      </c>
      <c r="H304" t="inlineStr">
        <is>
          <t>Low</t>
        </is>
      </c>
      <c r="I304">
        <f>IF(G304&gt;=Assumptions!$B$4,"Yes","No")</f>
        <v/>
      </c>
      <c r="J304" s="8">
        <f>F304*Assumptions!$B$6</f>
        <v/>
      </c>
      <c r="K304" s="10">
        <f>G304*J304</f>
        <v/>
      </c>
      <c r="L304" s="10">
        <f>IF(I304="Yes",G304*Assumptions!$B$5*J304,0)</f>
        <v/>
      </c>
    </row>
    <row r="305">
      <c r="A305" t="n">
        <v>1539</v>
      </c>
      <c r="B305" t="inlineStr">
        <is>
          <t>Research &amp; Development</t>
        </is>
      </c>
      <c r="C305" t="inlineStr">
        <is>
          <t>Research Director</t>
        </is>
      </c>
      <c r="D305" t="inlineStr">
        <is>
          <t>Yes</t>
        </is>
      </c>
      <c r="E305" s="8" t="n">
        <v>14411</v>
      </c>
      <c r="F305" s="8">
        <f>E305*Assumptions!$B$7</f>
        <v/>
      </c>
      <c r="G305" s="9" t="n">
        <v>0.0968</v>
      </c>
      <c r="H305" t="inlineStr">
        <is>
          <t>Low</t>
        </is>
      </c>
      <c r="I305">
        <f>IF(G305&gt;=Assumptions!$B$4,"Yes","No")</f>
        <v/>
      </c>
      <c r="J305" s="8">
        <f>F305*Assumptions!$B$6</f>
        <v/>
      </c>
      <c r="K305" s="10">
        <f>G305*J305</f>
        <v/>
      </c>
      <c r="L305" s="10">
        <f>IF(I305="Yes",G305*Assumptions!$B$5*J305,0)</f>
        <v/>
      </c>
    </row>
    <row r="306">
      <c r="A306" t="n">
        <v>1875</v>
      </c>
      <c r="B306" t="inlineStr">
        <is>
          <t>Sales</t>
        </is>
      </c>
      <c r="C306" t="inlineStr">
        <is>
          <t>Sales Representative</t>
        </is>
      </c>
      <c r="D306" t="inlineStr">
        <is>
          <t>No</t>
        </is>
      </c>
      <c r="E306" s="8" t="n">
        <v>2856</v>
      </c>
      <c r="F306" s="8">
        <f>E306*Assumptions!$B$7</f>
        <v/>
      </c>
      <c r="G306" s="9" t="n">
        <v>0.0961</v>
      </c>
      <c r="H306" t="inlineStr">
        <is>
          <t>Low</t>
        </is>
      </c>
      <c r="I306">
        <f>IF(G306&gt;=Assumptions!$B$4,"Yes","No")</f>
        <v/>
      </c>
      <c r="J306" s="8">
        <f>F306*Assumptions!$B$6</f>
        <v/>
      </c>
      <c r="K306" s="10">
        <f>G306*J306</f>
        <v/>
      </c>
      <c r="L306" s="10">
        <f>IF(I306="Yes",G306*Assumptions!$B$5*J306,0)</f>
        <v/>
      </c>
    </row>
    <row r="307">
      <c r="A307" t="n">
        <v>1105</v>
      </c>
      <c r="B307" t="inlineStr">
        <is>
          <t>Sales</t>
        </is>
      </c>
      <c r="C307" t="inlineStr">
        <is>
          <t>Sales Executive</t>
        </is>
      </c>
      <c r="D307" t="inlineStr">
        <is>
          <t>Yes</t>
        </is>
      </c>
      <c r="E307" s="8" t="n">
        <v>6694</v>
      </c>
      <c r="F307" s="8">
        <f>E307*Assumptions!$B$7</f>
        <v/>
      </c>
      <c r="G307" s="9" t="n">
        <v>0.0959</v>
      </c>
      <c r="H307" t="inlineStr">
        <is>
          <t>Low</t>
        </is>
      </c>
      <c r="I307">
        <f>IF(G307&gt;=Assumptions!$B$4,"Yes","No")</f>
        <v/>
      </c>
      <c r="J307" s="8">
        <f>F307*Assumptions!$B$6</f>
        <v/>
      </c>
      <c r="K307" s="10">
        <f>G307*J307</f>
        <v/>
      </c>
      <c r="L307" s="10">
        <f>IF(I307="Yes",G307*Assumptions!$B$5*J307,0)</f>
        <v/>
      </c>
    </row>
    <row r="308">
      <c r="A308" t="n">
        <v>2036</v>
      </c>
      <c r="B308" t="inlineStr">
        <is>
          <t>Sales</t>
        </is>
      </c>
      <c r="C308" t="inlineStr">
        <is>
          <t>Sales Executive</t>
        </is>
      </c>
      <c r="D308" t="inlineStr">
        <is>
          <t>No</t>
        </is>
      </c>
      <c r="E308" s="8" t="n">
        <v>5406</v>
      </c>
      <c r="F308" s="8">
        <f>E308*Assumptions!$B$7</f>
        <v/>
      </c>
      <c r="G308" s="9" t="n">
        <v>0.0955</v>
      </c>
      <c r="H308" t="inlineStr">
        <is>
          <t>Low</t>
        </is>
      </c>
      <c r="I308">
        <f>IF(G308&gt;=Assumptions!$B$4,"Yes","No")</f>
        <v/>
      </c>
      <c r="J308" s="8">
        <f>F308*Assumptions!$B$6</f>
        <v/>
      </c>
      <c r="K308" s="10">
        <f>G308*J308</f>
        <v/>
      </c>
      <c r="L308" s="10">
        <f>IF(I308="Yes",G308*Assumptions!$B$5*J308,0)</f>
        <v/>
      </c>
    </row>
    <row r="309">
      <c r="A309" t="n">
        <v>493</v>
      </c>
      <c r="B309" t="inlineStr">
        <is>
          <t>Research &amp; Development</t>
        </is>
      </c>
      <c r="C309" t="inlineStr">
        <is>
          <t>Research Scientist</t>
        </is>
      </c>
      <c r="D309" t="inlineStr">
        <is>
          <t>Yes</t>
        </is>
      </c>
      <c r="E309" s="8" t="n">
        <v>2657</v>
      </c>
      <c r="F309" s="8">
        <f>E309*Assumptions!$B$7</f>
        <v/>
      </c>
      <c r="G309" s="9" t="n">
        <v>0.0953</v>
      </c>
      <c r="H309" t="inlineStr">
        <is>
          <t>Low</t>
        </is>
      </c>
      <c r="I309">
        <f>IF(G309&gt;=Assumptions!$B$4,"Yes","No")</f>
        <v/>
      </c>
      <c r="J309" s="8">
        <f>F309*Assumptions!$B$6</f>
        <v/>
      </c>
      <c r="K309" s="10">
        <f>G309*J309</f>
        <v/>
      </c>
      <c r="L309" s="10">
        <f>IF(I309="Yes",G309*Assumptions!$B$5*J309,0)</f>
        <v/>
      </c>
    </row>
    <row r="310">
      <c r="A310" t="n">
        <v>260</v>
      </c>
      <c r="B310" t="inlineStr">
        <is>
          <t>Research &amp; Development</t>
        </is>
      </c>
      <c r="C310" t="inlineStr">
        <is>
          <t>Research Scientist</t>
        </is>
      </c>
      <c r="D310" t="inlineStr">
        <is>
          <t>No</t>
        </is>
      </c>
      <c r="E310" s="8" t="n">
        <v>2279</v>
      </c>
      <c r="F310" s="8">
        <f>E310*Assumptions!$B$7</f>
        <v/>
      </c>
      <c r="G310" s="9" t="n">
        <v>0.0953</v>
      </c>
      <c r="H310" t="inlineStr">
        <is>
          <t>Low</t>
        </is>
      </c>
      <c r="I310">
        <f>IF(G310&gt;=Assumptions!$B$4,"Yes","No")</f>
        <v/>
      </c>
      <c r="J310" s="8">
        <f>F310*Assumptions!$B$6</f>
        <v/>
      </c>
      <c r="K310" s="10">
        <f>G310*J310</f>
        <v/>
      </c>
      <c r="L310" s="10">
        <f>IF(I310="Yes",G310*Assumptions!$B$5*J310,0)</f>
        <v/>
      </c>
    </row>
    <row r="311">
      <c r="A311" t="n">
        <v>1507</v>
      </c>
      <c r="B311" t="inlineStr">
        <is>
          <t>Sales</t>
        </is>
      </c>
      <c r="C311" t="inlineStr">
        <is>
          <t>Sales Executive</t>
        </is>
      </c>
      <c r="D311" t="inlineStr">
        <is>
          <t>No</t>
        </is>
      </c>
      <c r="E311" s="8" t="n">
        <v>4898</v>
      </c>
      <c r="F311" s="8">
        <f>E311*Assumptions!$B$7</f>
        <v/>
      </c>
      <c r="G311" s="9" t="n">
        <v>0.0953</v>
      </c>
      <c r="H311" t="inlineStr">
        <is>
          <t>Low</t>
        </is>
      </c>
      <c r="I311">
        <f>IF(G311&gt;=Assumptions!$B$4,"Yes","No")</f>
        <v/>
      </c>
      <c r="J311" s="8">
        <f>F311*Assumptions!$B$6</f>
        <v/>
      </c>
      <c r="K311" s="10">
        <f>G311*J311</f>
        <v/>
      </c>
      <c r="L311" s="10">
        <f>IF(I311="Yes",G311*Assumptions!$B$5*J311,0)</f>
        <v/>
      </c>
    </row>
    <row r="312">
      <c r="A312" t="n">
        <v>936</v>
      </c>
      <c r="B312" t="inlineStr">
        <is>
          <t>Sales</t>
        </is>
      </c>
      <c r="C312" t="inlineStr">
        <is>
          <t>Sales Executive</t>
        </is>
      </c>
      <c r="D312" t="inlineStr">
        <is>
          <t>No</t>
        </is>
      </c>
      <c r="E312" s="8" t="n">
        <v>6244</v>
      </c>
      <c r="F312" s="8">
        <f>E312*Assumptions!$B$7</f>
        <v/>
      </c>
      <c r="G312" s="9" t="n">
        <v>0.0953</v>
      </c>
      <c r="H312" t="inlineStr">
        <is>
          <t>Low</t>
        </is>
      </c>
      <c r="I312">
        <f>IF(G312&gt;=Assumptions!$B$4,"Yes","No")</f>
        <v/>
      </c>
      <c r="J312" s="8">
        <f>F312*Assumptions!$B$6</f>
        <v/>
      </c>
      <c r="K312" s="10">
        <f>G312*J312</f>
        <v/>
      </c>
      <c r="L312" s="10">
        <f>IF(I312="Yes",G312*Assumptions!$B$5*J312,0)</f>
        <v/>
      </c>
    </row>
    <row r="313">
      <c r="A313" t="n">
        <v>1893</v>
      </c>
      <c r="B313" t="inlineStr">
        <is>
          <t>Research &amp; Development</t>
        </is>
      </c>
      <c r="C313" t="inlineStr">
        <is>
          <t>Research Scientist</t>
        </is>
      </c>
      <c r="D313" t="inlineStr">
        <is>
          <t>Yes</t>
        </is>
      </c>
      <c r="E313" s="8" t="n">
        <v>2933</v>
      </c>
      <c r="F313" s="8">
        <f>E313*Assumptions!$B$7</f>
        <v/>
      </c>
      <c r="G313" s="9" t="n">
        <v>0.0951</v>
      </c>
      <c r="H313" t="inlineStr">
        <is>
          <t>Low</t>
        </is>
      </c>
      <c r="I313">
        <f>IF(G313&gt;=Assumptions!$B$4,"Yes","No")</f>
        <v/>
      </c>
      <c r="J313" s="8">
        <f>F313*Assumptions!$B$6</f>
        <v/>
      </c>
      <c r="K313" s="10">
        <f>G313*J313</f>
        <v/>
      </c>
      <c r="L313" s="10">
        <f>IF(I313="Yes",G313*Assumptions!$B$5*J313,0)</f>
        <v/>
      </c>
    </row>
    <row r="314">
      <c r="A314" t="n">
        <v>1387</v>
      </c>
      <c r="B314" t="inlineStr">
        <is>
          <t>Sales</t>
        </is>
      </c>
      <c r="C314" t="inlineStr">
        <is>
          <t>Sales Executive</t>
        </is>
      </c>
      <c r="D314" t="inlineStr">
        <is>
          <t>No</t>
        </is>
      </c>
      <c r="E314" s="8" t="n">
        <v>4724</v>
      </c>
      <c r="F314" s="8">
        <f>E314*Assumptions!$B$7</f>
        <v/>
      </c>
      <c r="G314" s="9" t="n">
        <v>0.0949</v>
      </c>
      <c r="H314" t="inlineStr">
        <is>
          <t>Low</t>
        </is>
      </c>
      <c r="I314">
        <f>IF(G314&gt;=Assumptions!$B$4,"Yes","No")</f>
        <v/>
      </c>
      <c r="J314" s="8">
        <f>F314*Assumptions!$B$6</f>
        <v/>
      </c>
      <c r="K314" s="10">
        <f>G314*J314</f>
        <v/>
      </c>
      <c r="L314" s="10">
        <f>IF(I314="Yes",G314*Assumptions!$B$5*J314,0)</f>
        <v/>
      </c>
    </row>
    <row r="315">
      <c r="A315" t="n">
        <v>205</v>
      </c>
      <c r="B315" t="inlineStr">
        <is>
          <t>Sales</t>
        </is>
      </c>
      <c r="C315" t="inlineStr">
        <is>
          <t>Sales Representative</t>
        </is>
      </c>
      <c r="D315" t="inlineStr">
        <is>
          <t>Yes</t>
        </is>
      </c>
      <c r="E315" s="8" t="n">
        <v>2306</v>
      </c>
      <c r="F315" s="8">
        <f>E315*Assumptions!$B$7</f>
        <v/>
      </c>
      <c r="G315" s="9" t="n">
        <v>0.0934</v>
      </c>
      <c r="H315" t="inlineStr">
        <is>
          <t>Low</t>
        </is>
      </c>
      <c r="I315">
        <f>IF(G315&gt;=Assumptions!$B$4,"Yes","No")</f>
        <v/>
      </c>
      <c r="J315" s="8">
        <f>F315*Assumptions!$B$6</f>
        <v/>
      </c>
      <c r="K315" s="10">
        <f>G315*J315</f>
        <v/>
      </c>
      <c r="L315" s="10">
        <f>IF(I315="Yes",G315*Assumptions!$B$5*J315,0)</f>
        <v/>
      </c>
    </row>
    <row r="316">
      <c r="A316" t="n">
        <v>1813</v>
      </c>
      <c r="B316" t="inlineStr">
        <is>
          <t>Research &amp; Development</t>
        </is>
      </c>
      <c r="C316" t="inlineStr">
        <is>
          <t>Research Scientist</t>
        </is>
      </c>
      <c r="D316" t="inlineStr">
        <is>
          <t>No</t>
        </is>
      </c>
      <c r="E316" s="8" t="n">
        <v>2438</v>
      </c>
      <c r="F316" s="8">
        <f>E316*Assumptions!$B$7</f>
        <v/>
      </c>
      <c r="G316" s="9" t="n">
        <v>0.0934</v>
      </c>
      <c r="H316" t="inlineStr">
        <is>
          <t>Low</t>
        </is>
      </c>
      <c r="I316">
        <f>IF(G316&gt;=Assumptions!$B$4,"Yes","No")</f>
        <v/>
      </c>
      <c r="J316" s="8">
        <f>F316*Assumptions!$B$6</f>
        <v/>
      </c>
      <c r="K316" s="10">
        <f>G316*J316</f>
        <v/>
      </c>
      <c r="L316" s="10">
        <f>IF(I316="Yes",G316*Assumptions!$B$5*J316,0)</f>
        <v/>
      </c>
    </row>
    <row r="317">
      <c r="A317" t="n">
        <v>329</v>
      </c>
      <c r="B317" t="inlineStr">
        <is>
          <t>Sales</t>
        </is>
      </c>
      <c r="C317" t="inlineStr">
        <is>
          <t>Manager</t>
        </is>
      </c>
      <c r="D317" t="inlineStr">
        <is>
          <t>Yes</t>
        </is>
      </c>
      <c r="E317" s="8" t="n">
        <v>19068</v>
      </c>
      <c r="F317" s="8">
        <f>E317*Assumptions!$B$7</f>
        <v/>
      </c>
      <c r="G317" s="9" t="n">
        <v>0.0929</v>
      </c>
      <c r="H317" t="inlineStr">
        <is>
          <t>Low</t>
        </is>
      </c>
      <c r="I317">
        <f>IF(G317&gt;=Assumptions!$B$4,"Yes","No")</f>
        <v/>
      </c>
      <c r="J317" s="8">
        <f>F317*Assumptions!$B$6</f>
        <v/>
      </c>
      <c r="K317" s="10">
        <f>G317*J317</f>
        <v/>
      </c>
      <c r="L317" s="10">
        <f>IF(I317="Yes",G317*Assumptions!$B$5*J317,0)</f>
        <v/>
      </c>
    </row>
    <row r="318">
      <c r="A318" t="n">
        <v>1706</v>
      </c>
      <c r="B318" t="inlineStr">
        <is>
          <t>Sales</t>
        </is>
      </c>
      <c r="C318" t="inlineStr">
        <is>
          <t>Sales Executive</t>
        </is>
      </c>
      <c r="D318" t="inlineStr">
        <is>
          <t>Yes</t>
        </is>
      </c>
      <c r="E318" s="8" t="n">
        <v>7847</v>
      </c>
      <c r="F318" s="8">
        <f>E318*Assumptions!$B$7</f>
        <v/>
      </c>
      <c r="G318" s="9" t="n">
        <v>0.0915</v>
      </c>
      <c r="H318" t="inlineStr">
        <is>
          <t>Low</t>
        </is>
      </c>
      <c r="I318">
        <f>IF(G318&gt;=Assumptions!$B$4,"Yes","No")</f>
        <v/>
      </c>
      <c r="J318" s="8">
        <f>F318*Assumptions!$B$6</f>
        <v/>
      </c>
      <c r="K318" s="10">
        <f>G318*J318</f>
        <v/>
      </c>
      <c r="L318" s="10">
        <f>IF(I318="Yes",G318*Assumptions!$B$5*J318,0)</f>
        <v/>
      </c>
    </row>
    <row r="319">
      <c r="A319" t="n">
        <v>1535</v>
      </c>
      <c r="B319" t="inlineStr">
        <is>
          <t>Sales</t>
        </is>
      </c>
      <c r="C319" t="inlineStr">
        <is>
          <t>Sales Executive</t>
        </is>
      </c>
      <c r="D319" t="inlineStr">
        <is>
          <t>Yes</t>
        </is>
      </c>
      <c r="E319" s="8" t="n">
        <v>7083</v>
      </c>
      <c r="F319" s="8">
        <f>E319*Assumptions!$B$7</f>
        <v/>
      </c>
      <c r="G319" s="9" t="n">
        <v>0.0915</v>
      </c>
      <c r="H319" t="inlineStr">
        <is>
          <t>Low</t>
        </is>
      </c>
      <c r="I319">
        <f>IF(G319&gt;=Assumptions!$B$4,"Yes","No")</f>
        <v/>
      </c>
      <c r="J319" s="8">
        <f>F319*Assumptions!$B$6</f>
        <v/>
      </c>
      <c r="K319" s="10">
        <f>G319*J319</f>
        <v/>
      </c>
      <c r="L319" s="10">
        <f>IF(I319="Yes",G319*Assumptions!$B$5*J319,0)</f>
        <v/>
      </c>
    </row>
    <row r="320">
      <c r="A320" t="n">
        <v>945</v>
      </c>
      <c r="B320" t="inlineStr">
        <is>
          <t>Research &amp; Development</t>
        </is>
      </c>
      <c r="C320" t="inlineStr">
        <is>
          <t>Research Scientist</t>
        </is>
      </c>
      <c r="D320" t="inlineStr">
        <is>
          <t>No</t>
        </is>
      </c>
      <c r="E320" s="8" t="n">
        <v>2259</v>
      </c>
      <c r="F320" s="8">
        <f>E320*Assumptions!$B$7</f>
        <v/>
      </c>
      <c r="G320" s="9" t="n">
        <v>0.0915</v>
      </c>
      <c r="H320" t="inlineStr">
        <is>
          <t>Low</t>
        </is>
      </c>
      <c r="I320">
        <f>IF(G320&gt;=Assumptions!$B$4,"Yes","No")</f>
        <v/>
      </c>
      <c r="J320" s="8">
        <f>F320*Assumptions!$B$6</f>
        <v/>
      </c>
      <c r="K320" s="10">
        <f>G320*J320</f>
        <v/>
      </c>
      <c r="L320" s="10">
        <f>IF(I320="Yes",G320*Assumptions!$B$5*J320,0)</f>
        <v/>
      </c>
    </row>
    <row r="321">
      <c r="A321" t="n">
        <v>1588</v>
      </c>
      <c r="B321" t="inlineStr">
        <is>
          <t>Sales</t>
        </is>
      </c>
      <c r="C321" t="inlineStr">
        <is>
          <t>Sales Executive</t>
        </is>
      </c>
      <c r="D321" t="inlineStr">
        <is>
          <t>No</t>
        </is>
      </c>
      <c r="E321" s="8" t="n">
        <v>8237</v>
      </c>
      <c r="F321" s="8">
        <f>E321*Assumptions!$B$7</f>
        <v/>
      </c>
      <c r="G321" s="9" t="n">
        <v>0.0911</v>
      </c>
      <c r="H321" t="inlineStr">
        <is>
          <t>Low</t>
        </is>
      </c>
      <c r="I321">
        <f>IF(G321&gt;=Assumptions!$B$4,"Yes","No")</f>
        <v/>
      </c>
      <c r="J321" s="8">
        <f>F321*Assumptions!$B$6</f>
        <v/>
      </c>
      <c r="K321" s="10">
        <f>G321*J321</f>
        <v/>
      </c>
      <c r="L321" s="10">
        <f>IF(I321="Yes",G321*Assumptions!$B$5*J321,0)</f>
        <v/>
      </c>
    </row>
    <row r="322">
      <c r="A322" t="n">
        <v>281</v>
      </c>
      <c r="B322" t="inlineStr">
        <is>
          <t>Research &amp; Development</t>
        </is>
      </c>
      <c r="C322" t="inlineStr">
        <is>
          <t>Laboratory Technician</t>
        </is>
      </c>
      <c r="D322" t="inlineStr">
        <is>
          <t>Yes</t>
        </is>
      </c>
      <c r="E322" s="8" t="n">
        <v>2741</v>
      </c>
      <c r="F322" s="8">
        <f>E322*Assumptions!$B$7</f>
        <v/>
      </c>
      <c r="G322" s="9" t="n">
        <v>0.0906</v>
      </c>
      <c r="H322" t="inlineStr">
        <is>
          <t>Low</t>
        </is>
      </c>
      <c r="I322">
        <f>IF(G322&gt;=Assumptions!$B$4,"Yes","No")</f>
        <v/>
      </c>
      <c r="J322" s="8">
        <f>F322*Assumptions!$B$6</f>
        <v/>
      </c>
      <c r="K322" s="10">
        <f>G322*J322</f>
        <v/>
      </c>
      <c r="L322" s="10">
        <f>IF(I322="Yes",G322*Assumptions!$B$5*J322,0)</f>
        <v/>
      </c>
    </row>
    <row r="323">
      <c r="A323" t="n">
        <v>207</v>
      </c>
      <c r="B323" t="inlineStr">
        <is>
          <t>Sales</t>
        </is>
      </c>
      <c r="C323" t="inlineStr">
        <is>
          <t>Sales Executive</t>
        </is>
      </c>
      <c r="D323" t="inlineStr">
        <is>
          <t>No</t>
        </is>
      </c>
      <c r="E323" s="8" t="n">
        <v>8998</v>
      </c>
      <c r="F323" s="8">
        <f>E323*Assumptions!$B$7</f>
        <v/>
      </c>
      <c r="G323" s="9" t="n">
        <v>0.09030000000000001</v>
      </c>
      <c r="H323" t="inlineStr">
        <is>
          <t>Low</t>
        </is>
      </c>
      <c r="I323">
        <f>IF(G323&gt;=Assumptions!$B$4,"Yes","No")</f>
        <v/>
      </c>
      <c r="J323" s="8">
        <f>F323*Assumptions!$B$6</f>
        <v/>
      </c>
      <c r="K323" s="10">
        <f>G323*J323</f>
        <v/>
      </c>
      <c r="L323" s="10">
        <f>IF(I323="Yes",G323*Assumptions!$B$5*J323,0)</f>
        <v/>
      </c>
    </row>
    <row r="324">
      <c r="A324" t="n">
        <v>1585</v>
      </c>
      <c r="B324" t="inlineStr">
        <is>
          <t>Sales</t>
        </is>
      </c>
      <c r="C324" t="inlineStr">
        <is>
          <t>Sales Executive</t>
        </is>
      </c>
      <c r="D324" t="inlineStr">
        <is>
          <t>No</t>
        </is>
      </c>
      <c r="E324" s="8" t="n">
        <v>6815</v>
      </c>
      <c r="F324" s="8">
        <f>E324*Assumptions!$B$7</f>
        <v/>
      </c>
      <c r="G324" s="9" t="n">
        <v>0.0901</v>
      </c>
      <c r="H324" t="inlineStr">
        <is>
          <t>Low</t>
        </is>
      </c>
      <c r="I324">
        <f>IF(G324&gt;=Assumptions!$B$4,"Yes","No")</f>
        <v/>
      </c>
      <c r="J324" s="8">
        <f>F324*Assumptions!$B$6</f>
        <v/>
      </c>
      <c r="K324" s="10">
        <f>G324*J324</f>
        <v/>
      </c>
      <c r="L324" s="10">
        <f>IF(I324="Yes",G324*Assumptions!$B$5*J324,0)</f>
        <v/>
      </c>
    </row>
    <row r="325">
      <c r="A325" t="n">
        <v>1399</v>
      </c>
      <c r="B325" t="inlineStr">
        <is>
          <t>Sales</t>
        </is>
      </c>
      <c r="C325" t="inlineStr">
        <is>
          <t>Sales Executive</t>
        </is>
      </c>
      <c r="D325" t="inlineStr">
        <is>
          <t>No</t>
        </is>
      </c>
      <c r="E325" s="8" t="n">
        <v>6232</v>
      </c>
      <c r="F325" s="8">
        <f>E325*Assumptions!$B$7</f>
        <v/>
      </c>
      <c r="G325" s="9" t="n">
        <v>0.09</v>
      </c>
      <c r="H325" t="inlineStr">
        <is>
          <t>Low</t>
        </is>
      </c>
      <c r="I325">
        <f>IF(G325&gt;=Assumptions!$B$4,"Yes","No")</f>
        <v/>
      </c>
      <c r="J325" s="8">
        <f>F325*Assumptions!$B$6</f>
        <v/>
      </c>
      <c r="K325" s="10">
        <f>G325*J325</f>
        <v/>
      </c>
      <c r="L325" s="10">
        <f>IF(I325="Yes",G325*Assumptions!$B$5*J325,0)</f>
        <v/>
      </c>
    </row>
    <row r="326">
      <c r="A326" t="n">
        <v>1640</v>
      </c>
      <c r="B326" t="inlineStr">
        <is>
          <t>Research &amp; Development</t>
        </is>
      </c>
      <c r="C326" t="inlineStr">
        <is>
          <t>Research Scientist</t>
        </is>
      </c>
      <c r="D326" t="inlineStr">
        <is>
          <t>No</t>
        </is>
      </c>
      <c r="E326" s="8" t="n">
        <v>3936</v>
      </c>
      <c r="F326" s="8">
        <f>E326*Assumptions!$B$7</f>
        <v/>
      </c>
      <c r="G326" s="9" t="n">
        <v>0.0896</v>
      </c>
      <c r="H326" t="inlineStr">
        <is>
          <t>Low</t>
        </is>
      </c>
      <c r="I326">
        <f>IF(G326&gt;=Assumptions!$B$4,"Yes","No")</f>
        <v/>
      </c>
      <c r="J326" s="8">
        <f>F326*Assumptions!$B$6</f>
        <v/>
      </c>
      <c r="K326" s="10">
        <f>G326*J326</f>
        <v/>
      </c>
      <c r="L326" s="10">
        <f>IF(I326="Yes",G326*Assumptions!$B$5*J326,0)</f>
        <v/>
      </c>
    </row>
    <row r="327">
      <c r="A327" t="n">
        <v>1951</v>
      </c>
      <c r="B327" t="inlineStr">
        <is>
          <t>Sales</t>
        </is>
      </c>
      <c r="C327" t="inlineStr">
        <is>
          <t>Sales Executive</t>
        </is>
      </c>
      <c r="D327" t="inlineStr">
        <is>
          <t>No</t>
        </is>
      </c>
      <c r="E327" s="8" t="n">
        <v>8628</v>
      </c>
      <c r="F327" s="8">
        <f>E327*Assumptions!$B$7</f>
        <v/>
      </c>
      <c r="G327" s="9" t="n">
        <v>0.08939999999999999</v>
      </c>
      <c r="H327" t="inlineStr">
        <is>
          <t>Low</t>
        </is>
      </c>
      <c r="I327">
        <f>IF(G327&gt;=Assumptions!$B$4,"Yes","No")</f>
        <v/>
      </c>
      <c r="J327" s="8">
        <f>F327*Assumptions!$B$6</f>
        <v/>
      </c>
      <c r="K327" s="10">
        <f>G327*J327</f>
        <v/>
      </c>
      <c r="L327" s="10">
        <f>IF(I327="Yes",G327*Assumptions!$B$5*J327,0)</f>
        <v/>
      </c>
    </row>
    <row r="328">
      <c r="A328" t="n">
        <v>930</v>
      </c>
      <c r="B328" t="inlineStr">
        <is>
          <t>Research &amp; Development</t>
        </is>
      </c>
      <c r="C328" t="inlineStr">
        <is>
          <t>Research Scientist</t>
        </is>
      </c>
      <c r="D328" t="inlineStr">
        <is>
          <t>No</t>
        </is>
      </c>
      <c r="E328" s="8" t="n">
        <v>2377</v>
      </c>
      <c r="F328" s="8">
        <f>E328*Assumptions!$B$7</f>
        <v/>
      </c>
      <c r="G328" s="9" t="n">
        <v>0.0893</v>
      </c>
      <c r="H328" t="inlineStr">
        <is>
          <t>Low</t>
        </is>
      </c>
      <c r="I328">
        <f>IF(G328&gt;=Assumptions!$B$4,"Yes","No")</f>
        <v/>
      </c>
      <c r="J328" s="8">
        <f>F328*Assumptions!$B$6</f>
        <v/>
      </c>
      <c r="K328" s="10">
        <f>G328*J328</f>
        <v/>
      </c>
      <c r="L328" s="10">
        <f>IF(I328="Yes",G328*Assumptions!$B$5*J328,0)</f>
        <v/>
      </c>
    </row>
    <row r="329">
      <c r="A329" t="n">
        <v>458</v>
      </c>
      <c r="B329" t="inlineStr">
        <is>
          <t>Sales</t>
        </is>
      </c>
      <c r="C329" t="inlineStr">
        <is>
          <t>Sales Executive</t>
        </is>
      </c>
      <c r="D329" t="inlineStr">
        <is>
          <t>No</t>
        </is>
      </c>
      <c r="E329" s="8" t="n">
        <v>6214</v>
      </c>
      <c r="F329" s="8">
        <f>E329*Assumptions!$B$7</f>
        <v/>
      </c>
      <c r="G329" s="9" t="n">
        <v>0.0891</v>
      </c>
      <c r="H329" t="inlineStr">
        <is>
          <t>Low</t>
        </is>
      </c>
      <c r="I329">
        <f>IF(G329&gt;=Assumptions!$B$4,"Yes","No")</f>
        <v/>
      </c>
      <c r="J329" s="8">
        <f>F329*Assumptions!$B$6</f>
        <v/>
      </c>
      <c r="K329" s="10">
        <f>G329*J329</f>
        <v/>
      </c>
      <c r="L329" s="10">
        <f>IF(I329="Yes",G329*Assumptions!$B$5*J329,0)</f>
        <v/>
      </c>
    </row>
    <row r="330">
      <c r="A330" t="n">
        <v>1132</v>
      </c>
      <c r="B330" t="inlineStr">
        <is>
          <t>Research &amp; Development</t>
        </is>
      </c>
      <c r="C330" t="inlineStr">
        <is>
          <t>Laboratory Technician</t>
        </is>
      </c>
      <c r="D330" t="inlineStr">
        <is>
          <t>No</t>
        </is>
      </c>
      <c r="E330" s="8" t="n">
        <v>6782</v>
      </c>
      <c r="F330" s="8">
        <f>E330*Assumptions!$B$7</f>
        <v/>
      </c>
      <c r="G330" s="9" t="n">
        <v>0.0888</v>
      </c>
      <c r="H330" t="inlineStr">
        <is>
          <t>Low</t>
        </is>
      </c>
      <c r="I330">
        <f>IF(G330&gt;=Assumptions!$B$4,"Yes","No")</f>
        <v/>
      </c>
      <c r="J330" s="8">
        <f>F330*Assumptions!$B$6</f>
        <v/>
      </c>
      <c r="K330" s="10">
        <f>G330*J330</f>
        <v/>
      </c>
      <c r="L330" s="10">
        <f>IF(I330="Yes",G330*Assumptions!$B$5*J330,0)</f>
        <v/>
      </c>
    </row>
    <row r="331">
      <c r="A331" t="n">
        <v>1709</v>
      </c>
      <c r="B331" t="inlineStr">
        <is>
          <t>Research &amp; Development</t>
        </is>
      </c>
      <c r="C331" t="inlineStr">
        <is>
          <t>Laboratory Technician</t>
        </is>
      </c>
      <c r="D331" t="inlineStr">
        <is>
          <t>No</t>
        </is>
      </c>
      <c r="E331" s="8" t="n">
        <v>2974</v>
      </c>
      <c r="F331" s="8">
        <f>E331*Assumptions!$B$7</f>
        <v/>
      </c>
      <c r="G331" s="9" t="n">
        <v>0.0888</v>
      </c>
      <c r="H331" t="inlineStr">
        <is>
          <t>Low</t>
        </is>
      </c>
      <c r="I331">
        <f>IF(G331&gt;=Assumptions!$B$4,"Yes","No")</f>
        <v/>
      </c>
      <c r="J331" s="8">
        <f>F331*Assumptions!$B$6</f>
        <v/>
      </c>
      <c r="K331" s="10">
        <f>G331*J331</f>
        <v/>
      </c>
      <c r="L331" s="10">
        <f>IF(I331="Yes",G331*Assumptions!$B$5*J331,0)</f>
        <v/>
      </c>
    </row>
    <row r="332">
      <c r="A332" t="n">
        <v>334</v>
      </c>
      <c r="B332" t="inlineStr">
        <is>
          <t>Research &amp; Development</t>
        </is>
      </c>
      <c r="C332" t="inlineStr">
        <is>
          <t>Research Scientist</t>
        </is>
      </c>
      <c r="D332" t="inlineStr">
        <is>
          <t>No</t>
        </is>
      </c>
      <c r="E332" s="8" t="n">
        <v>3072</v>
      </c>
      <c r="F332" s="8">
        <f>E332*Assumptions!$B$7</f>
        <v/>
      </c>
      <c r="G332" s="9" t="n">
        <v>0.0886</v>
      </c>
      <c r="H332" t="inlineStr">
        <is>
          <t>Low</t>
        </is>
      </c>
      <c r="I332">
        <f>IF(G332&gt;=Assumptions!$B$4,"Yes","No")</f>
        <v/>
      </c>
      <c r="J332" s="8">
        <f>F332*Assumptions!$B$6</f>
        <v/>
      </c>
      <c r="K332" s="10">
        <f>G332*J332</f>
        <v/>
      </c>
      <c r="L332" s="10">
        <f>IF(I332="Yes",G332*Assumptions!$B$5*J332,0)</f>
        <v/>
      </c>
    </row>
    <row r="333">
      <c r="A333" t="n">
        <v>1746</v>
      </c>
      <c r="B333" t="inlineStr">
        <is>
          <t>Human Resources</t>
        </is>
      </c>
      <c r="C333" t="inlineStr">
        <is>
          <t>Human Resources</t>
        </is>
      </c>
      <c r="D333" t="inlineStr">
        <is>
          <t>No</t>
        </is>
      </c>
      <c r="E333" s="8" t="n">
        <v>2145</v>
      </c>
      <c r="F333" s="8">
        <f>E333*Assumptions!$B$7</f>
        <v/>
      </c>
      <c r="G333" s="9" t="n">
        <v>0.0886</v>
      </c>
      <c r="H333" t="inlineStr">
        <is>
          <t>Low</t>
        </is>
      </c>
      <c r="I333">
        <f>IF(G333&gt;=Assumptions!$B$4,"Yes","No")</f>
        <v/>
      </c>
      <c r="J333" s="8">
        <f>F333*Assumptions!$B$6</f>
        <v/>
      </c>
      <c r="K333" s="10">
        <f>G333*J333</f>
        <v/>
      </c>
      <c r="L333" s="10">
        <f>IF(I333="Yes",G333*Assumptions!$B$5*J333,0)</f>
        <v/>
      </c>
    </row>
    <row r="334">
      <c r="A334" t="n">
        <v>666</v>
      </c>
      <c r="B334" t="inlineStr">
        <is>
          <t>Sales</t>
        </is>
      </c>
      <c r="C334" t="inlineStr">
        <is>
          <t>Sales Representative</t>
        </is>
      </c>
      <c r="D334" t="inlineStr">
        <is>
          <t>Yes</t>
        </is>
      </c>
      <c r="E334" s="8" t="n">
        <v>2579</v>
      </c>
      <c r="F334" s="8">
        <f>E334*Assumptions!$B$7</f>
        <v/>
      </c>
      <c r="G334" s="9" t="n">
        <v>0.08840000000000001</v>
      </c>
      <c r="H334" t="inlineStr">
        <is>
          <t>Low</t>
        </is>
      </c>
      <c r="I334">
        <f>IF(G334&gt;=Assumptions!$B$4,"Yes","No")</f>
        <v/>
      </c>
      <c r="J334" s="8">
        <f>F334*Assumptions!$B$6</f>
        <v/>
      </c>
      <c r="K334" s="10">
        <f>G334*J334</f>
        <v/>
      </c>
      <c r="L334" s="10">
        <f>IF(I334="Yes",G334*Assumptions!$B$5*J334,0)</f>
        <v/>
      </c>
    </row>
    <row r="335">
      <c r="A335" t="n">
        <v>1956</v>
      </c>
      <c r="B335" t="inlineStr">
        <is>
          <t>Research &amp; Development</t>
        </is>
      </c>
      <c r="C335" t="inlineStr">
        <is>
          <t>Research Scientist</t>
        </is>
      </c>
      <c r="D335" t="inlineStr">
        <is>
          <t>No</t>
        </is>
      </c>
      <c r="E335" s="8" t="n">
        <v>5003</v>
      </c>
      <c r="F335" s="8">
        <f>E335*Assumptions!$B$7</f>
        <v/>
      </c>
      <c r="G335" s="9" t="n">
        <v>0.0876</v>
      </c>
      <c r="H335" t="inlineStr">
        <is>
          <t>Low</t>
        </is>
      </c>
      <c r="I335">
        <f>IF(G335&gt;=Assumptions!$B$4,"Yes","No")</f>
        <v/>
      </c>
      <c r="J335" s="8">
        <f>F335*Assumptions!$B$6</f>
        <v/>
      </c>
      <c r="K335" s="10">
        <f>G335*J335</f>
        <v/>
      </c>
      <c r="L335" s="10">
        <f>IF(I335="Yes",G335*Assumptions!$B$5*J335,0)</f>
        <v/>
      </c>
    </row>
    <row r="336">
      <c r="A336" t="n">
        <v>699</v>
      </c>
      <c r="B336" t="inlineStr">
        <is>
          <t>Research &amp; Development</t>
        </is>
      </c>
      <c r="C336" t="inlineStr">
        <is>
          <t>Manufacturing Director</t>
        </is>
      </c>
      <c r="D336" t="inlineStr">
        <is>
          <t>Yes</t>
        </is>
      </c>
      <c r="E336" s="8" t="n">
        <v>8847</v>
      </c>
      <c r="F336" s="8">
        <f>E336*Assumptions!$B$7</f>
        <v/>
      </c>
      <c r="G336" s="9" t="n">
        <v>0.0873</v>
      </c>
      <c r="H336" t="inlineStr">
        <is>
          <t>Low</t>
        </is>
      </c>
      <c r="I336">
        <f>IF(G336&gt;=Assumptions!$B$4,"Yes","No")</f>
        <v/>
      </c>
      <c r="J336" s="8">
        <f>F336*Assumptions!$B$6</f>
        <v/>
      </c>
      <c r="K336" s="10">
        <f>G336*J336</f>
        <v/>
      </c>
      <c r="L336" s="10">
        <f>IF(I336="Yes",G336*Assumptions!$B$5*J336,0)</f>
        <v/>
      </c>
    </row>
    <row r="337">
      <c r="A337" t="n">
        <v>1301</v>
      </c>
      <c r="B337" t="inlineStr">
        <is>
          <t>Research &amp; Development</t>
        </is>
      </c>
      <c r="C337" t="inlineStr">
        <is>
          <t>Research Scientist</t>
        </is>
      </c>
      <c r="D337" t="inlineStr">
        <is>
          <t>No</t>
        </is>
      </c>
      <c r="E337" s="8" t="n">
        <v>2080</v>
      </c>
      <c r="F337" s="8">
        <f>E337*Assumptions!$B$7</f>
        <v/>
      </c>
      <c r="G337" s="9" t="n">
        <v>0.0872</v>
      </c>
      <c r="H337" t="inlineStr">
        <is>
          <t>Low</t>
        </is>
      </c>
      <c r="I337">
        <f>IF(G337&gt;=Assumptions!$B$4,"Yes","No")</f>
        <v/>
      </c>
      <c r="J337" s="8">
        <f>F337*Assumptions!$B$6</f>
        <v/>
      </c>
      <c r="K337" s="10">
        <f>G337*J337</f>
        <v/>
      </c>
      <c r="L337" s="10">
        <f>IF(I337="Yes",G337*Assumptions!$B$5*J337,0)</f>
        <v/>
      </c>
    </row>
    <row r="338">
      <c r="A338" t="n">
        <v>1563</v>
      </c>
      <c r="B338" t="inlineStr">
        <is>
          <t>Human Resources</t>
        </is>
      </c>
      <c r="C338" t="inlineStr">
        <is>
          <t>Human Resources</t>
        </is>
      </c>
      <c r="D338" t="inlineStr">
        <is>
          <t>No</t>
        </is>
      </c>
      <c r="E338" s="8" t="n">
        <v>6077</v>
      </c>
      <c r="F338" s="8">
        <f>E338*Assumptions!$B$7</f>
        <v/>
      </c>
      <c r="G338" s="9" t="n">
        <v>0.0871</v>
      </c>
      <c r="H338" t="inlineStr">
        <is>
          <t>Low</t>
        </is>
      </c>
      <c r="I338">
        <f>IF(G338&gt;=Assumptions!$B$4,"Yes","No")</f>
        <v/>
      </c>
      <c r="J338" s="8">
        <f>F338*Assumptions!$B$6</f>
        <v/>
      </c>
      <c r="K338" s="10">
        <f>G338*J338</f>
        <v/>
      </c>
      <c r="L338" s="10">
        <f>IF(I338="Yes",G338*Assumptions!$B$5*J338,0)</f>
        <v/>
      </c>
    </row>
    <row r="339">
      <c r="A339" t="n">
        <v>397</v>
      </c>
      <c r="B339" t="inlineStr">
        <is>
          <t>Research &amp; Development</t>
        </is>
      </c>
      <c r="C339" t="inlineStr">
        <is>
          <t>Research Scientist</t>
        </is>
      </c>
      <c r="D339" t="inlineStr">
        <is>
          <t>No</t>
        </is>
      </c>
      <c r="E339" s="8" t="n">
        <v>4485</v>
      </c>
      <c r="F339" s="8">
        <f>E339*Assumptions!$B$7</f>
        <v/>
      </c>
      <c r="G339" s="9" t="n">
        <v>0.08690000000000001</v>
      </c>
      <c r="H339" t="inlineStr">
        <is>
          <t>Low</t>
        </is>
      </c>
      <c r="I339">
        <f>IF(G339&gt;=Assumptions!$B$4,"Yes","No")</f>
        <v/>
      </c>
      <c r="J339" s="8">
        <f>F339*Assumptions!$B$6</f>
        <v/>
      </c>
      <c r="K339" s="10">
        <f>G339*J339</f>
        <v/>
      </c>
      <c r="L339" s="10">
        <f>IF(I339="Yes",G339*Assumptions!$B$5*J339,0)</f>
        <v/>
      </c>
    </row>
    <row r="340">
      <c r="A340" t="n">
        <v>351</v>
      </c>
      <c r="B340" t="inlineStr">
        <is>
          <t>Research &amp; Development</t>
        </is>
      </c>
      <c r="C340" t="inlineStr">
        <is>
          <t>Laboratory Technician</t>
        </is>
      </c>
      <c r="D340" t="inlineStr">
        <is>
          <t>Yes</t>
        </is>
      </c>
      <c r="E340" s="8" t="n">
        <v>2593</v>
      </c>
      <c r="F340" s="8">
        <f>E340*Assumptions!$B$7</f>
        <v/>
      </c>
      <c r="G340" s="9" t="n">
        <v>0.0867</v>
      </c>
      <c r="H340" t="inlineStr">
        <is>
          <t>Low</t>
        </is>
      </c>
      <c r="I340">
        <f>IF(G340&gt;=Assumptions!$B$4,"Yes","No")</f>
        <v/>
      </c>
      <c r="J340" s="8">
        <f>F340*Assumptions!$B$6</f>
        <v/>
      </c>
      <c r="K340" s="10">
        <f>G340*J340</f>
        <v/>
      </c>
      <c r="L340" s="10">
        <f>IF(I340="Yes",G340*Assumptions!$B$5*J340,0)</f>
        <v/>
      </c>
    </row>
    <row r="341">
      <c r="A341" t="n">
        <v>1239</v>
      </c>
      <c r="B341" t="inlineStr">
        <is>
          <t>Sales</t>
        </is>
      </c>
      <c r="C341" t="inlineStr">
        <is>
          <t>Sales Executive</t>
        </is>
      </c>
      <c r="D341" t="inlineStr">
        <is>
          <t>No</t>
        </is>
      </c>
      <c r="E341" s="8" t="n">
        <v>6852</v>
      </c>
      <c r="F341" s="8">
        <f>E341*Assumptions!$B$7</f>
        <v/>
      </c>
      <c r="G341" s="9" t="n">
        <v>0.0864</v>
      </c>
      <c r="H341" t="inlineStr">
        <is>
          <t>Low</t>
        </is>
      </c>
      <c r="I341">
        <f>IF(G341&gt;=Assumptions!$B$4,"Yes","No")</f>
        <v/>
      </c>
      <c r="J341" s="8">
        <f>F341*Assumptions!$B$6</f>
        <v/>
      </c>
      <c r="K341" s="10">
        <f>G341*J341</f>
        <v/>
      </c>
      <c r="L341" s="10">
        <f>IF(I341="Yes",G341*Assumptions!$B$5*J341,0)</f>
        <v/>
      </c>
    </row>
    <row r="342">
      <c r="A342" t="n">
        <v>1402</v>
      </c>
      <c r="B342" t="inlineStr">
        <is>
          <t>Research &amp; Development</t>
        </is>
      </c>
      <c r="C342" t="inlineStr">
        <is>
          <t>Research Scientist</t>
        </is>
      </c>
      <c r="D342" t="inlineStr">
        <is>
          <t>Yes</t>
        </is>
      </c>
      <c r="E342" s="8" t="n">
        <v>4081</v>
      </c>
      <c r="F342" s="8">
        <f>E342*Assumptions!$B$7</f>
        <v/>
      </c>
      <c r="G342" s="9" t="n">
        <v>0.0864</v>
      </c>
      <c r="H342" t="inlineStr">
        <is>
          <t>Low</t>
        </is>
      </c>
      <c r="I342">
        <f>IF(G342&gt;=Assumptions!$B$4,"Yes","No")</f>
        <v/>
      </c>
      <c r="J342" s="8">
        <f>F342*Assumptions!$B$6</f>
        <v/>
      </c>
      <c r="K342" s="10">
        <f>G342*J342</f>
        <v/>
      </c>
      <c r="L342" s="10">
        <f>IF(I342="Yes",G342*Assumptions!$B$5*J342,0)</f>
        <v/>
      </c>
    </row>
    <row r="343">
      <c r="A343" t="n">
        <v>306</v>
      </c>
      <c r="B343" t="inlineStr">
        <is>
          <t>Research &amp; Development</t>
        </is>
      </c>
      <c r="C343" t="inlineStr">
        <is>
          <t>Research Director</t>
        </is>
      </c>
      <c r="D343" t="inlineStr">
        <is>
          <t>Yes</t>
        </is>
      </c>
      <c r="E343" s="8" t="n">
        <v>12185</v>
      </c>
      <c r="F343" s="8">
        <f>E343*Assumptions!$B$7</f>
        <v/>
      </c>
      <c r="G343" s="9" t="n">
        <v>0.0862</v>
      </c>
      <c r="H343" t="inlineStr">
        <is>
          <t>Low</t>
        </is>
      </c>
      <c r="I343">
        <f>IF(G343&gt;=Assumptions!$B$4,"Yes","No")</f>
        <v/>
      </c>
      <c r="J343" s="8">
        <f>F343*Assumptions!$B$6</f>
        <v/>
      </c>
      <c r="K343" s="10">
        <f>G343*J343</f>
        <v/>
      </c>
      <c r="L343" s="10">
        <f>IF(I343="Yes",G343*Assumptions!$B$5*J343,0)</f>
        <v/>
      </c>
    </row>
    <row r="344">
      <c r="A344" t="n">
        <v>585</v>
      </c>
      <c r="B344" t="inlineStr">
        <is>
          <t>Sales</t>
        </is>
      </c>
      <c r="C344" t="inlineStr">
        <is>
          <t>Sales Representative</t>
        </is>
      </c>
      <c r="D344" t="inlineStr">
        <is>
          <t>No</t>
        </is>
      </c>
      <c r="E344" s="8" t="n">
        <v>2983</v>
      </c>
      <c r="F344" s="8">
        <f>E344*Assumptions!$B$7</f>
        <v/>
      </c>
      <c r="G344" s="9" t="n">
        <v>0.0858</v>
      </c>
      <c r="H344" t="inlineStr">
        <is>
          <t>Low</t>
        </is>
      </c>
      <c r="I344">
        <f>IF(G344&gt;=Assumptions!$B$4,"Yes","No")</f>
        <v/>
      </c>
      <c r="J344" s="8">
        <f>F344*Assumptions!$B$6</f>
        <v/>
      </c>
      <c r="K344" s="10">
        <f>G344*J344</f>
        <v/>
      </c>
      <c r="L344" s="10">
        <f>IF(I344="Yes",G344*Assumptions!$B$5*J344,0)</f>
        <v/>
      </c>
    </row>
    <row r="345">
      <c r="A345" t="n">
        <v>586</v>
      </c>
      <c r="B345" t="inlineStr">
        <is>
          <t>Research &amp; Development</t>
        </is>
      </c>
      <c r="C345" t="inlineStr">
        <is>
          <t>Healthcare Representative</t>
        </is>
      </c>
      <c r="D345" t="inlineStr">
        <is>
          <t>Yes</t>
        </is>
      </c>
      <c r="E345" s="8" t="n">
        <v>7632</v>
      </c>
      <c r="F345" s="8">
        <f>E345*Assumptions!$B$7</f>
        <v/>
      </c>
      <c r="G345" s="9" t="n">
        <v>0.0858</v>
      </c>
      <c r="H345" t="inlineStr">
        <is>
          <t>Low</t>
        </is>
      </c>
      <c r="I345">
        <f>IF(G345&gt;=Assumptions!$B$4,"Yes","No")</f>
        <v/>
      </c>
      <c r="J345" s="8">
        <f>F345*Assumptions!$B$6</f>
        <v/>
      </c>
      <c r="K345" s="10">
        <f>G345*J345</f>
        <v/>
      </c>
      <c r="L345" s="10">
        <f>IF(I345="Yes",G345*Assumptions!$B$5*J345,0)</f>
        <v/>
      </c>
    </row>
    <row r="346">
      <c r="A346" t="n">
        <v>159</v>
      </c>
      <c r="B346" t="inlineStr">
        <is>
          <t>Research &amp; Development</t>
        </is>
      </c>
      <c r="C346" t="inlineStr">
        <is>
          <t>Research Scientist</t>
        </is>
      </c>
      <c r="D346" t="inlineStr">
        <is>
          <t>No</t>
        </is>
      </c>
      <c r="E346" s="8" t="n">
        <v>2613</v>
      </c>
      <c r="F346" s="8">
        <f>E346*Assumptions!$B$7</f>
        <v/>
      </c>
      <c r="G346" s="9" t="n">
        <v>0.08550000000000001</v>
      </c>
      <c r="H346" t="inlineStr">
        <is>
          <t>Low</t>
        </is>
      </c>
      <c r="I346">
        <f>IF(G346&gt;=Assumptions!$B$4,"Yes","No")</f>
        <v/>
      </c>
      <c r="J346" s="8">
        <f>F346*Assumptions!$B$6</f>
        <v/>
      </c>
      <c r="K346" s="10">
        <f>G346*J346</f>
        <v/>
      </c>
      <c r="L346" s="10">
        <f>IF(I346="Yes",G346*Assumptions!$B$5*J346,0)</f>
        <v/>
      </c>
    </row>
    <row r="347">
      <c r="A347" t="n">
        <v>314</v>
      </c>
      <c r="B347" t="inlineStr">
        <is>
          <t>Sales</t>
        </is>
      </c>
      <c r="C347" t="inlineStr">
        <is>
          <t>Sales Executive</t>
        </is>
      </c>
      <c r="D347" t="inlineStr">
        <is>
          <t>No</t>
        </is>
      </c>
      <c r="E347" s="8" t="n">
        <v>8789</v>
      </c>
      <c r="F347" s="8">
        <f>E347*Assumptions!$B$7</f>
        <v/>
      </c>
      <c r="G347" s="9" t="n">
        <v>0.0851</v>
      </c>
      <c r="H347" t="inlineStr">
        <is>
          <t>Low</t>
        </is>
      </c>
      <c r="I347">
        <f>IF(G347&gt;=Assumptions!$B$4,"Yes","No")</f>
        <v/>
      </c>
      <c r="J347" s="8">
        <f>F347*Assumptions!$B$6</f>
        <v/>
      </c>
      <c r="K347" s="10">
        <f>G347*J347</f>
        <v/>
      </c>
      <c r="L347" s="10">
        <f>IF(I347="Yes",G347*Assumptions!$B$5*J347,0)</f>
        <v/>
      </c>
    </row>
    <row r="348">
      <c r="A348" t="n">
        <v>568</v>
      </c>
      <c r="B348" t="inlineStr">
        <is>
          <t>Sales</t>
        </is>
      </c>
      <c r="C348" t="inlineStr">
        <is>
          <t>Manager</t>
        </is>
      </c>
      <c r="D348" t="inlineStr">
        <is>
          <t>No</t>
        </is>
      </c>
      <c r="E348" s="8" t="n">
        <v>14118</v>
      </c>
      <c r="F348" s="8">
        <f>E348*Assumptions!$B$7</f>
        <v/>
      </c>
      <c r="G348" s="9" t="n">
        <v>0.0849</v>
      </c>
      <c r="H348" t="inlineStr">
        <is>
          <t>Low</t>
        </is>
      </c>
      <c r="I348">
        <f>IF(G348&gt;=Assumptions!$B$4,"Yes","No")</f>
        <v/>
      </c>
      <c r="J348" s="8">
        <f>F348*Assumptions!$B$6</f>
        <v/>
      </c>
      <c r="K348" s="10">
        <f>G348*J348</f>
        <v/>
      </c>
      <c r="L348" s="10">
        <f>IF(I348="Yes",G348*Assumptions!$B$5*J348,0)</f>
        <v/>
      </c>
    </row>
    <row r="349">
      <c r="A349" t="n">
        <v>1148</v>
      </c>
      <c r="B349" t="inlineStr">
        <is>
          <t>Research &amp; Development</t>
        </is>
      </c>
      <c r="C349" t="inlineStr">
        <is>
          <t>Laboratory Technician</t>
        </is>
      </c>
      <c r="D349" t="inlineStr">
        <is>
          <t>No</t>
        </is>
      </c>
      <c r="E349" s="8" t="n">
        <v>4272</v>
      </c>
      <c r="F349" s="8">
        <f>E349*Assumptions!$B$7</f>
        <v/>
      </c>
      <c r="G349" s="9" t="n">
        <v>0.0849</v>
      </c>
      <c r="H349" t="inlineStr">
        <is>
          <t>Low</t>
        </is>
      </c>
      <c r="I349">
        <f>IF(G349&gt;=Assumptions!$B$4,"Yes","No")</f>
        <v/>
      </c>
      <c r="J349" s="8">
        <f>F349*Assumptions!$B$6</f>
        <v/>
      </c>
      <c r="K349" s="10">
        <f>G349*J349</f>
        <v/>
      </c>
      <c r="L349" s="10">
        <f>IF(I349="Yes",G349*Assumptions!$B$5*J349,0)</f>
        <v/>
      </c>
    </row>
    <row r="350">
      <c r="A350" t="n">
        <v>1317</v>
      </c>
      <c r="B350" t="inlineStr">
        <is>
          <t>Research &amp; Development</t>
        </is>
      </c>
      <c r="C350" t="inlineStr">
        <is>
          <t>Research Director</t>
        </is>
      </c>
      <c r="D350" t="inlineStr">
        <is>
          <t>Yes</t>
        </is>
      </c>
      <c r="E350" s="8" t="n">
        <v>16880</v>
      </c>
      <c r="F350" s="8">
        <f>E350*Assumptions!$B$7</f>
        <v/>
      </c>
      <c r="G350" s="9" t="n">
        <v>0.0849</v>
      </c>
      <c r="H350" t="inlineStr">
        <is>
          <t>Low</t>
        </is>
      </c>
      <c r="I350">
        <f>IF(G350&gt;=Assumptions!$B$4,"Yes","No")</f>
        <v/>
      </c>
      <c r="J350" s="8">
        <f>F350*Assumptions!$B$6</f>
        <v/>
      </c>
      <c r="K350" s="10">
        <f>G350*J350</f>
        <v/>
      </c>
      <c r="L350" s="10">
        <f>IF(I350="Yes",G350*Assumptions!$B$5*J350,0)</f>
        <v/>
      </c>
    </row>
    <row r="351">
      <c r="A351" t="n">
        <v>1945</v>
      </c>
      <c r="B351" t="inlineStr">
        <is>
          <t>Sales</t>
        </is>
      </c>
      <c r="C351" t="inlineStr">
        <is>
          <t>Sales Executive</t>
        </is>
      </c>
      <c r="D351" t="inlineStr">
        <is>
          <t>No</t>
        </is>
      </c>
      <c r="E351" s="8" t="n">
        <v>5561</v>
      </c>
      <c r="F351" s="8">
        <f>E351*Assumptions!$B$7</f>
        <v/>
      </c>
      <c r="G351" s="9" t="n">
        <v>0.0848</v>
      </c>
      <c r="H351" t="inlineStr">
        <is>
          <t>Low</t>
        </is>
      </c>
      <c r="I351">
        <f>IF(G351&gt;=Assumptions!$B$4,"Yes","No")</f>
        <v/>
      </c>
      <c r="J351" s="8">
        <f>F351*Assumptions!$B$6</f>
        <v/>
      </c>
      <c r="K351" s="10">
        <f>G351*J351</f>
        <v/>
      </c>
      <c r="L351" s="10">
        <f>IF(I351="Yes",G351*Assumptions!$B$5*J351,0)</f>
        <v/>
      </c>
    </row>
    <row r="352">
      <c r="A352" t="n">
        <v>470</v>
      </c>
      <c r="B352" t="inlineStr">
        <is>
          <t>Human Resources</t>
        </is>
      </c>
      <c r="C352" t="inlineStr">
        <is>
          <t>Human Resources</t>
        </is>
      </c>
      <c r="D352" t="inlineStr">
        <is>
          <t>Yes</t>
        </is>
      </c>
      <c r="E352" s="8" t="n">
        <v>2696</v>
      </c>
      <c r="F352" s="8">
        <f>E352*Assumptions!$B$7</f>
        <v/>
      </c>
      <c r="G352" s="9" t="n">
        <v>0.0848</v>
      </c>
      <c r="H352" t="inlineStr">
        <is>
          <t>Low</t>
        </is>
      </c>
      <c r="I352">
        <f>IF(G352&gt;=Assumptions!$B$4,"Yes","No")</f>
        <v/>
      </c>
      <c r="J352" s="8">
        <f>F352*Assumptions!$B$6</f>
        <v/>
      </c>
      <c r="K352" s="10">
        <f>G352*J352</f>
        <v/>
      </c>
      <c r="L352" s="10">
        <f>IF(I352="Yes",G352*Assumptions!$B$5*J352,0)</f>
        <v/>
      </c>
    </row>
    <row r="353">
      <c r="A353" t="n">
        <v>305</v>
      </c>
      <c r="B353" t="inlineStr">
        <is>
          <t>Research &amp; Development</t>
        </is>
      </c>
      <c r="C353" t="inlineStr">
        <is>
          <t>Research Scientist</t>
        </is>
      </c>
      <c r="D353" t="inlineStr">
        <is>
          <t>No</t>
        </is>
      </c>
      <c r="E353" s="8" t="n">
        <v>2622</v>
      </c>
      <c r="F353" s="8">
        <f>E353*Assumptions!$B$7</f>
        <v/>
      </c>
      <c r="G353" s="9" t="n">
        <v>0.0847</v>
      </c>
      <c r="H353" t="inlineStr">
        <is>
          <t>Low</t>
        </is>
      </c>
      <c r="I353">
        <f>IF(G353&gt;=Assumptions!$B$4,"Yes","No")</f>
        <v/>
      </c>
      <c r="J353" s="8">
        <f>F353*Assumptions!$B$6</f>
        <v/>
      </c>
      <c r="K353" s="10">
        <f>G353*J353</f>
        <v/>
      </c>
      <c r="L353" s="10">
        <f>IF(I353="Yes",G353*Assumptions!$B$5*J353,0)</f>
        <v/>
      </c>
    </row>
    <row r="354">
      <c r="A354" t="n">
        <v>1150</v>
      </c>
      <c r="B354" t="inlineStr">
        <is>
          <t>Research &amp; Development</t>
        </is>
      </c>
      <c r="C354" t="inlineStr">
        <is>
          <t>Manufacturing Director</t>
        </is>
      </c>
      <c r="D354" t="inlineStr">
        <is>
          <t>Yes</t>
        </is>
      </c>
      <c r="E354" s="8" t="n">
        <v>5056</v>
      </c>
      <c r="F354" s="8">
        <f>E354*Assumptions!$B$7</f>
        <v/>
      </c>
      <c r="G354" s="9" t="n">
        <v>0.08409999999999999</v>
      </c>
      <c r="H354" t="inlineStr">
        <is>
          <t>Low</t>
        </is>
      </c>
      <c r="I354">
        <f>IF(G354&gt;=Assumptions!$B$4,"Yes","No")</f>
        <v/>
      </c>
      <c r="J354" s="8">
        <f>F354*Assumptions!$B$6</f>
        <v/>
      </c>
      <c r="K354" s="10">
        <f>G354*J354</f>
        <v/>
      </c>
      <c r="L354" s="10">
        <f>IF(I354="Yes",G354*Assumptions!$B$5*J354,0)</f>
        <v/>
      </c>
    </row>
    <row r="355">
      <c r="A355" t="n">
        <v>41</v>
      </c>
      <c r="B355" t="inlineStr">
        <is>
          <t>Research &amp; Development</t>
        </is>
      </c>
      <c r="C355" t="inlineStr">
        <is>
          <t>Laboratory Technician</t>
        </is>
      </c>
      <c r="D355" t="inlineStr">
        <is>
          <t>No</t>
        </is>
      </c>
      <c r="E355" s="8" t="n">
        <v>2206</v>
      </c>
      <c r="F355" s="8">
        <f>E355*Assumptions!$B$7</f>
        <v/>
      </c>
      <c r="G355" s="9" t="n">
        <v>0.08400000000000001</v>
      </c>
      <c r="H355" t="inlineStr">
        <is>
          <t>Low</t>
        </is>
      </c>
      <c r="I355">
        <f>IF(G355&gt;=Assumptions!$B$4,"Yes","No")</f>
        <v/>
      </c>
      <c r="J355" s="8">
        <f>F355*Assumptions!$B$6</f>
        <v/>
      </c>
      <c r="K355" s="10">
        <f>G355*J355</f>
        <v/>
      </c>
      <c r="L355" s="10">
        <f>IF(I355="Yes",G355*Assumptions!$B$5*J355,0)</f>
        <v/>
      </c>
    </row>
    <row r="356">
      <c r="A356" t="n">
        <v>2056</v>
      </c>
      <c r="B356" t="inlineStr">
        <is>
          <t>Sales</t>
        </is>
      </c>
      <c r="C356" t="inlineStr">
        <is>
          <t>Sales Executive</t>
        </is>
      </c>
      <c r="D356" t="inlineStr">
        <is>
          <t>No</t>
        </is>
      </c>
      <c r="E356" s="8" t="n">
        <v>12031</v>
      </c>
      <c r="F356" s="8">
        <f>E356*Assumptions!$B$7</f>
        <v/>
      </c>
      <c r="G356" s="9" t="n">
        <v>0.0833</v>
      </c>
      <c r="H356" t="inlineStr">
        <is>
          <t>Low</t>
        </is>
      </c>
      <c r="I356">
        <f>IF(G356&gt;=Assumptions!$B$4,"Yes","No")</f>
        <v/>
      </c>
      <c r="J356" s="8">
        <f>F356*Assumptions!$B$6</f>
        <v/>
      </c>
      <c r="K356" s="10">
        <f>G356*J356</f>
        <v/>
      </c>
      <c r="L356" s="10">
        <f>IF(I356="Yes",G356*Assumptions!$B$5*J356,0)</f>
        <v/>
      </c>
    </row>
    <row r="357">
      <c r="A357" t="n">
        <v>1596</v>
      </c>
      <c r="B357" t="inlineStr">
        <is>
          <t>Research &amp; Development</t>
        </is>
      </c>
      <c r="C357" t="inlineStr">
        <is>
          <t>Laboratory Technician</t>
        </is>
      </c>
      <c r="D357" t="inlineStr">
        <is>
          <t>No</t>
        </is>
      </c>
      <c r="E357" s="8" t="n">
        <v>3407</v>
      </c>
      <c r="F357" s="8">
        <f>E357*Assumptions!$B$7</f>
        <v/>
      </c>
      <c r="G357" s="9" t="n">
        <v>0.08309999999999999</v>
      </c>
      <c r="H357" t="inlineStr">
        <is>
          <t>Low</t>
        </is>
      </c>
      <c r="I357">
        <f>IF(G357&gt;=Assumptions!$B$4,"Yes","No")</f>
        <v/>
      </c>
      <c r="J357" s="8">
        <f>F357*Assumptions!$B$6</f>
        <v/>
      </c>
      <c r="K357" s="10">
        <f>G357*J357</f>
        <v/>
      </c>
      <c r="L357" s="10">
        <f>IF(I357="Yes",G357*Assumptions!$B$5*J357,0)</f>
        <v/>
      </c>
    </row>
    <row r="358">
      <c r="A358" t="n">
        <v>1163</v>
      </c>
      <c r="B358" t="inlineStr">
        <is>
          <t>Sales</t>
        </is>
      </c>
      <c r="C358" t="inlineStr">
        <is>
          <t>Sales Executive</t>
        </is>
      </c>
      <c r="D358" t="inlineStr">
        <is>
          <t>No</t>
        </is>
      </c>
      <c r="E358" s="8" t="n">
        <v>5714</v>
      </c>
      <c r="F358" s="8">
        <f>E358*Assumptions!$B$7</f>
        <v/>
      </c>
      <c r="G358" s="9" t="n">
        <v>0.0829</v>
      </c>
      <c r="H358" t="inlineStr">
        <is>
          <t>Low</t>
        </is>
      </c>
      <c r="I358">
        <f>IF(G358&gt;=Assumptions!$B$4,"Yes","No")</f>
        <v/>
      </c>
      <c r="J358" s="8">
        <f>F358*Assumptions!$B$6</f>
        <v/>
      </c>
      <c r="K358" s="10">
        <f>G358*J358</f>
        <v/>
      </c>
      <c r="L358" s="10">
        <f>IF(I358="Yes",G358*Assumptions!$B$5*J358,0)</f>
        <v/>
      </c>
    </row>
    <row r="359">
      <c r="A359" t="n">
        <v>1412</v>
      </c>
      <c r="B359" t="inlineStr">
        <is>
          <t>Research &amp; Development</t>
        </is>
      </c>
      <c r="C359" t="inlineStr">
        <is>
          <t>Manufacturing Director</t>
        </is>
      </c>
      <c r="D359" t="inlineStr">
        <is>
          <t>No</t>
        </is>
      </c>
      <c r="E359" s="8" t="n">
        <v>9362</v>
      </c>
      <c r="F359" s="8">
        <f>E359*Assumptions!$B$7</f>
        <v/>
      </c>
      <c r="G359" s="9" t="n">
        <v>0.0825</v>
      </c>
      <c r="H359" t="inlineStr">
        <is>
          <t>Low</t>
        </is>
      </c>
      <c r="I359">
        <f>IF(G359&gt;=Assumptions!$B$4,"Yes","No")</f>
        <v/>
      </c>
      <c r="J359" s="8">
        <f>F359*Assumptions!$B$6</f>
        <v/>
      </c>
      <c r="K359" s="10">
        <f>G359*J359</f>
        <v/>
      </c>
      <c r="L359" s="10">
        <f>IF(I359="Yes",G359*Assumptions!$B$5*J359,0)</f>
        <v/>
      </c>
    </row>
    <row r="360">
      <c r="A360" t="n">
        <v>1190</v>
      </c>
      <c r="B360" t="inlineStr">
        <is>
          <t>Sales</t>
        </is>
      </c>
      <c r="C360" t="inlineStr">
        <is>
          <t>Sales Representative</t>
        </is>
      </c>
      <c r="D360" t="inlineStr">
        <is>
          <t>No</t>
        </is>
      </c>
      <c r="E360" s="8" t="n">
        <v>2827</v>
      </c>
      <c r="F360" s="8">
        <f>E360*Assumptions!$B$7</f>
        <v/>
      </c>
      <c r="G360" s="9" t="n">
        <v>0.0824</v>
      </c>
      <c r="H360" t="inlineStr">
        <is>
          <t>Low</t>
        </is>
      </c>
      <c r="I360">
        <f>IF(G360&gt;=Assumptions!$B$4,"Yes","No")</f>
        <v/>
      </c>
      <c r="J360" s="8">
        <f>F360*Assumptions!$B$6</f>
        <v/>
      </c>
      <c r="K360" s="10">
        <f>G360*J360</f>
        <v/>
      </c>
      <c r="L360" s="10">
        <f>IF(I360="Yes",G360*Assumptions!$B$5*J360,0)</f>
        <v/>
      </c>
    </row>
    <row r="361">
      <c r="A361" t="n">
        <v>484</v>
      </c>
      <c r="B361" t="inlineStr">
        <is>
          <t>Sales</t>
        </is>
      </c>
      <c r="C361" t="inlineStr">
        <is>
          <t>Sales Representative</t>
        </is>
      </c>
      <c r="D361" t="inlineStr">
        <is>
          <t>No</t>
        </is>
      </c>
      <c r="E361" s="8" t="n">
        <v>2610</v>
      </c>
      <c r="F361" s="8">
        <f>E361*Assumptions!$B$7</f>
        <v/>
      </c>
      <c r="G361" s="9" t="n">
        <v>0.0822</v>
      </c>
      <c r="H361" t="inlineStr">
        <is>
          <t>Low</t>
        </is>
      </c>
      <c r="I361">
        <f>IF(G361&gt;=Assumptions!$B$4,"Yes","No")</f>
        <v/>
      </c>
      <c r="J361" s="8">
        <f>F361*Assumptions!$B$6</f>
        <v/>
      </c>
      <c r="K361" s="10">
        <f>G361*J361</f>
        <v/>
      </c>
      <c r="L361" s="10">
        <f>IF(I361="Yes",G361*Assumptions!$B$5*J361,0)</f>
        <v/>
      </c>
    </row>
    <row r="362">
      <c r="A362" t="n">
        <v>1568</v>
      </c>
      <c r="B362" t="inlineStr">
        <is>
          <t>Sales</t>
        </is>
      </c>
      <c r="C362" t="inlineStr">
        <is>
          <t>Sales Executive</t>
        </is>
      </c>
      <c r="D362" t="inlineStr">
        <is>
          <t>No</t>
        </is>
      </c>
      <c r="E362" s="8" t="n">
        <v>9250</v>
      </c>
      <c r="F362" s="8">
        <f>E362*Assumptions!$B$7</f>
        <v/>
      </c>
      <c r="G362" s="9" t="n">
        <v>0.0818</v>
      </c>
      <c r="H362" t="inlineStr">
        <is>
          <t>Low</t>
        </is>
      </c>
      <c r="I362">
        <f>IF(G362&gt;=Assumptions!$B$4,"Yes","No")</f>
        <v/>
      </c>
      <c r="J362" s="8">
        <f>F362*Assumptions!$B$6</f>
        <v/>
      </c>
      <c r="K362" s="10">
        <f>G362*J362</f>
        <v/>
      </c>
      <c r="L362" s="10">
        <f>IF(I362="Yes",G362*Assumptions!$B$5*J362,0)</f>
        <v/>
      </c>
    </row>
    <row r="363">
      <c r="A363" t="n">
        <v>1002</v>
      </c>
      <c r="B363" t="inlineStr">
        <is>
          <t>Research &amp; Development</t>
        </is>
      </c>
      <c r="C363" t="inlineStr">
        <is>
          <t>Laboratory Technician</t>
        </is>
      </c>
      <c r="D363" t="inlineStr">
        <is>
          <t>Yes</t>
        </is>
      </c>
      <c r="E363" s="8" t="n">
        <v>3633</v>
      </c>
      <c r="F363" s="8">
        <f>E363*Assumptions!$B$7</f>
        <v/>
      </c>
      <c r="G363" s="9" t="n">
        <v>0.08169999999999999</v>
      </c>
      <c r="H363" t="inlineStr">
        <is>
          <t>Low</t>
        </is>
      </c>
      <c r="I363">
        <f>IF(G363&gt;=Assumptions!$B$4,"Yes","No")</f>
        <v/>
      </c>
      <c r="J363" s="8">
        <f>F363*Assumptions!$B$6</f>
        <v/>
      </c>
      <c r="K363" s="10">
        <f>G363*J363</f>
        <v/>
      </c>
      <c r="L363" s="10">
        <f>IF(I363="Yes",G363*Assumptions!$B$5*J363,0)</f>
        <v/>
      </c>
    </row>
    <row r="364">
      <c r="A364" t="n">
        <v>975</v>
      </c>
      <c r="B364" t="inlineStr">
        <is>
          <t>Sales</t>
        </is>
      </c>
      <c r="C364" t="inlineStr">
        <is>
          <t>Sales Executive</t>
        </is>
      </c>
      <c r="D364" t="inlineStr">
        <is>
          <t>No</t>
        </is>
      </c>
      <c r="E364" s="8" t="n">
        <v>4601</v>
      </c>
      <c r="F364" s="8">
        <f>E364*Assumptions!$B$7</f>
        <v/>
      </c>
      <c r="G364" s="9" t="n">
        <v>0.0814</v>
      </c>
      <c r="H364" t="inlineStr">
        <is>
          <t>Low</t>
        </is>
      </c>
      <c r="I364">
        <f>IF(G364&gt;=Assumptions!$B$4,"Yes","No")</f>
        <v/>
      </c>
      <c r="J364" s="8">
        <f>F364*Assumptions!$B$6</f>
        <v/>
      </c>
      <c r="K364" s="10">
        <f>G364*J364</f>
        <v/>
      </c>
      <c r="L364" s="10">
        <f>IF(I364="Yes",G364*Assumptions!$B$5*J364,0)</f>
        <v/>
      </c>
    </row>
    <row r="365">
      <c r="A365" t="n">
        <v>1739</v>
      </c>
      <c r="B365" t="inlineStr">
        <is>
          <t>Sales</t>
        </is>
      </c>
      <c r="C365" t="inlineStr">
        <is>
          <t>Sales Executive</t>
        </is>
      </c>
      <c r="D365" t="inlineStr">
        <is>
          <t>No</t>
        </is>
      </c>
      <c r="E365" s="8" t="n">
        <v>9610</v>
      </c>
      <c r="F365" s="8">
        <f>E365*Assumptions!$B$7</f>
        <v/>
      </c>
      <c r="G365" s="9" t="n">
        <v>0.08119999999999999</v>
      </c>
      <c r="H365" t="inlineStr">
        <is>
          <t>Low</t>
        </is>
      </c>
      <c r="I365">
        <f>IF(G365&gt;=Assumptions!$B$4,"Yes","No")</f>
        <v/>
      </c>
      <c r="J365" s="8">
        <f>F365*Assumptions!$B$6</f>
        <v/>
      </c>
      <c r="K365" s="10">
        <f>G365*J365</f>
        <v/>
      </c>
      <c r="L365" s="10">
        <f>IF(I365="Yes",G365*Assumptions!$B$5*J365,0)</f>
        <v/>
      </c>
    </row>
    <row r="366">
      <c r="A366" t="n">
        <v>110</v>
      </c>
      <c r="B366" t="inlineStr">
        <is>
          <t>Research &amp; Development</t>
        </is>
      </c>
      <c r="C366" t="inlineStr">
        <is>
          <t>Manufacturing Director</t>
        </is>
      </c>
      <c r="D366" t="inlineStr">
        <is>
          <t>No</t>
        </is>
      </c>
      <c r="E366" s="8" t="n">
        <v>4325</v>
      </c>
      <c r="F366" s="8">
        <f>E366*Assumptions!$B$7</f>
        <v/>
      </c>
      <c r="G366" s="9" t="n">
        <v>0.0809</v>
      </c>
      <c r="H366" t="inlineStr">
        <is>
          <t>Low</t>
        </is>
      </c>
      <c r="I366">
        <f>IF(G366&gt;=Assumptions!$B$4,"Yes","No")</f>
        <v/>
      </c>
      <c r="J366" s="8">
        <f>F366*Assumptions!$B$6</f>
        <v/>
      </c>
      <c r="K366" s="10">
        <f>G366*J366</f>
        <v/>
      </c>
      <c r="L366" s="10">
        <f>IF(I366="Yes",G366*Assumptions!$B$5*J366,0)</f>
        <v/>
      </c>
    </row>
    <row r="367">
      <c r="A367" t="n">
        <v>1998</v>
      </c>
      <c r="B367" t="inlineStr">
        <is>
          <t>Research &amp; Development</t>
        </is>
      </c>
      <c r="C367" t="inlineStr">
        <is>
          <t>Research Scientist</t>
        </is>
      </c>
      <c r="D367" t="inlineStr">
        <is>
          <t>Yes</t>
        </is>
      </c>
      <c r="E367" s="8" t="n">
        <v>5410</v>
      </c>
      <c r="F367" s="8">
        <f>E367*Assumptions!$B$7</f>
        <v/>
      </c>
      <c r="G367" s="9" t="n">
        <v>0.0809</v>
      </c>
      <c r="H367" t="inlineStr">
        <is>
          <t>Low</t>
        </is>
      </c>
      <c r="I367">
        <f>IF(G367&gt;=Assumptions!$B$4,"Yes","No")</f>
        <v/>
      </c>
      <c r="J367" s="8">
        <f>F367*Assumptions!$B$6</f>
        <v/>
      </c>
      <c r="K367" s="10">
        <f>G367*J367</f>
        <v/>
      </c>
      <c r="L367" s="10">
        <f>IF(I367="Yes",G367*Assumptions!$B$5*J367,0)</f>
        <v/>
      </c>
    </row>
    <row r="368">
      <c r="A368" t="n">
        <v>543</v>
      </c>
      <c r="B368" t="inlineStr">
        <is>
          <t>Research &amp; Development</t>
        </is>
      </c>
      <c r="C368" t="inlineStr">
        <is>
          <t>Manufacturing Director</t>
        </is>
      </c>
      <c r="D368" t="inlineStr">
        <is>
          <t>Yes</t>
        </is>
      </c>
      <c r="E368" s="8" t="n">
        <v>7969</v>
      </c>
      <c r="F368" s="8">
        <f>E368*Assumptions!$B$7</f>
        <v/>
      </c>
      <c r="G368" s="9" t="n">
        <v>0.0805</v>
      </c>
      <c r="H368" t="inlineStr">
        <is>
          <t>Low</t>
        </is>
      </c>
      <c r="I368">
        <f>IF(G368&gt;=Assumptions!$B$4,"Yes","No")</f>
        <v/>
      </c>
      <c r="J368" s="8">
        <f>F368*Assumptions!$B$6</f>
        <v/>
      </c>
      <c r="K368" s="10">
        <f>G368*J368</f>
        <v/>
      </c>
      <c r="L368" s="10">
        <f>IF(I368="Yes",G368*Assumptions!$B$5*J368,0)</f>
        <v/>
      </c>
    </row>
    <row r="369">
      <c r="A369" t="n">
        <v>1202</v>
      </c>
      <c r="B369" t="inlineStr">
        <is>
          <t>Research &amp; Development</t>
        </is>
      </c>
      <c r="C369" t="inlineStr">
        <is>
          <t>Research Scientist</t>
        </is>
      </c>
      <c r="D369" t="inlineStr">
        <is>
          <t>Yes</t>
        </is>
      </c>
      <c r="E369" s="8" t="n">
        <v>2168</v>
      </c>
      <c r="F369" s="8">
        <f>E369*Assumptions!$B$7</f>
        <v/>
      </c>
      <c r="G369" s="9" t="n">
        <v>0.0803</v>
      </c>
      <c r="H369" t="inlineStr">
        <is>
          <t>Low</t>
        </is>
      </c>
      <c r="I369">
        <f>IF(G369&gt;=Assumptions!$B$4,"Yes","No")</f>
        <v/>
      </c>
      <c r="J369" s="8">
        <f>F369*Assumptions!$B$6</f>
        <v/>
      </c>
      <c r="K369" s="10">
        <f>G369*J369</f>
        <v/>
      </c>
      <c r="L369" s="10">
        <f>IF(I369="Yes",G369*Assumptions!$B$5*J369,0)</f>
        <v/>
      </c>
    </row>
    <row r="370">
      <c r="A370" t="n">
        <v>238</v>
      </c>
      <c r="B370" t="inlineStr">
        <is>
          <t>Research &amp; Development</t>
        </is>
      </c>
      <c r="C370" t="inlineStr">
        <is>
          <t>Laboratory Technician</t>
        </is>
      </c>
      <c r="D370" t="inlineStr">
        <is>
          <t>No</t>
        </is>
      </c>
      <c r="E370" s="8" t="n">
        <v>2088</v>
      </c>
      <c r="F370" s="8">
        <f>E370*Assumptions!$B$7</f>
        <v/>
      </c>
      <c r="G370" s="9" t="n">
        <v>0.08019999999999999</v>
      </c>
      <c r="H370" t="inlineStr">
        <is>
          <t>Low</t>
        </is>
      </c>
      <c r="I370">
        <f>IF(G370&gt;=Assumptions!$B$4,"Yes","No")</f>
        <v/>
      </c>
      <c r="J370" s="8">
        <f>F370*Assumptions!$B$6</f>
        <v/>
      </c>
      <c r="K370" s="10">
        <f>G370*J370</f>
        <v/>
      </c>
      <c r="L370" s="10">
        <f>IF(I370="Yes",G370*Assumptions!$B$5*J370,0)</f>
        <v/>
      </c>
    </row>
    <row r="371">
      <c r="A371" t="n">
        <v>957</v>
      </c>
      <c r="B371" t="inlineStr">
        <is>
          <t>Research &amp; Development</t>
        </is>
      </c>
      <c r="C371" t="inlineStr">
        <is>
          <t>Laboratory Technician</t>
        </is>
      </c>
      <c r="D371" t="inlineStr">
        <is>
          <t>Yes</t>
        </is>
      </c>
      <c r="E371" s="8" t="n">
        <v>4721</v>
      </c>
      <c r="F371" s="8">
        <f>E371*Assumptions!$B$7</f>
        <v/>
      </c>
      <c r="G371" s="9" t="n">
        <v>0.0799</v>
      </c>
      <c r="H371" t="inlineStr">
        <is>
          <t>Low</t>
        </is>
      </c>
      <c r="I371">
        <f>IF(G371&gt;=Assumptions!$B$4,"Yes","No")</f>
        <v/>
      </c>
      <c r="J371" s="8">
        <f>F371*Assumptions!$B$6</f>
        <v/>
      </c>
      <c r="K371" s="10">
        <f>G371*J371</f>
        <v/>
      </c>
      <c r="L371" s="10">
        <f>IF(I371="Yes",G371*Assumptions!$B$5*J371,0)</f>
        <v/>
      </c>
    </row>
    <row r="372">
      <c r="A372" t="n">
        <v>2062</v>
      </c>
      <c r="B372" t="inlineStr">
        <is>
          <t>Research &amp; Development</t>
        </is>
      </c>
      <c r="C372" t="inlineStr">
        <is>
          <t>Healthcare Representative</t>
        </is>
      </c>
      <c r="D372" t="inlineStr">
        <is>
          <t>No</t>
        </is>
      </c>
      <c r="E372" s="8" t="n">
        <v>9991</v>
      </c>
      <c r="F372" s="8">
        <f>E372*Assumptions!$B$7</f>
        <v/>
      </c>
      <c r="G372" s="9" t="n">
        <v>0.0799</v>
      </c>
      <c r="H372" t="inlineStr">
        <is>
          <t>Low</t>
        </is>
      </c>
      <c r="I372">
        <f>IF(G372&gt;=Assumptions!$B$4,"Yes","No")</f>
        <v/>
      </c>
      <c r="J372" s="8">
        <f>F372*Assumptions!$B$6</f>
        <v/>
      </c>
      <c r="K372" s="10">
        <f>G372*J372</f>
        <v/>
      </c>
      <c r="L372" s="10">
        <f>IF(I372="Yes",G372*Assumptions!$B$5*J372,0)</f>
        <v/>
      </c>
    </row>
    <row r="373">
      <c r="A373" t="n">
        <v>1220</v>
      </c>
      <c r="B373" t="inlineStr">
        <is>
          <t>Sales</t>
        </is>
      </c>
      <c r="C373" t="inlineStr">
        <is>
          <t>Sales Executive</t>
        </is>
      </c>
      <c r="D373" t="inlineStr">
        <is>
          <t>No</t>
        </is>
      </c>
      <c r="E373" s="8" t="n">
        <v>4539</v>
      </c>
      <c r="F373" s="8">
        <f>E373*Assumptions!$B$7</f>
        <v/>
      </c>
      <c r="G373" s="9" t="n">
        <v>0.0798</v>
      </c>
      <c r="H373" t="inlineStr">
        <is>
          <t>Low</t>
        </is>
      </c>
      <c r="I373">
        <f>IF(G373&gt;=Assumptions!$B$4,"Yes","No")</f>
        <v/>
      </c>
      <c r="J373" s="8">
        <f>F373*Assumptions!$B$6</f>
        <v/>
      </c>
      <c r="K373" s="10">
        <f>G373*J373</f>
        <v/>
      </c>
      <c r="L373" s="10">
        <f>IF(I373="Yes",G373*Assumptions!$B$5*J373,0)</f>
        <v/>
      </c>
    </row>
    <row r="374">
      <c r="A374" t="n">
        <v>230</v>
      </c>
      <c r="B374" t="inlineStr">
        <is>
          <t>Sales</t>
        </is>
      </c>
      <c r="C374" t="inlineStr">
        <is>
          <t>Sales Executive</t>
        </is>
      </c>
      <c r="D374" t="inlineStr">
        <is>
          <t>No</t>
        </is>
      </c>
      <c r="E374" s="8" t="n">
        <v>8686</v>
      </c>
      <c r="F374" s="8">
        <f>E374*Assumptions!$B$7</f>
        <v/>
      </c>
      <c r="G374" s="9" t="n">
        <v>0.0795</v>
      </c>
      <c r="H374" t="inlineStr">
        <is>
          <t>Low</t>
        </is>
      </c>
      <c r="I374">
        <f>IF(G374&gt;=Assumptions!$B$4,"Yes","No")</f>
        <v/>
      </c>
      <c r="J374" s="8">
        <f>F374*Assumptions!$B$6</f>
        <v/>
      </c>
      <c r="K374" s="10">
        <f>G374*J374</f>
        <v/>
      </c>
      <c r="L374" s="10">
        <f>IF(I374="Yes",G374*Assumptions!$B$5*J374,0)</f>
        <v/>
      </c>
    </row>
    <row r="375">
      <c r="A375" t="n">
        <v>2012</v>
      </c>
      <c r="B375" t="inlineStr">
        <is>
          <t>Research &amp; Development</t>
        </is>
      </c>
      <c r="C375" t="inlineStr">
        <is>
          <t>Laboratory Technician</t>
        </is>
      </c>
      <c r="D375" t="inlineStr">
        <is>
          <t>No</t>
        </is>
      </c>
      <c r="E375" s="8" t="n">
        <v>2406</v>
      </c>
      <c r="F375" s="8">
        <f>E375*Assumptions!$B$7</f>
        <v/>
      </c>
      <c r="G375" s="9" t="n">
        <v>0.0794</v>
      </c>
      <c r="H375" t="inlineStr">
        <is>
          <t>Low</t>
        </is>
      </c>
      <c r="I375">
        <f>IF(G375&gt;=Assumptions!$B$4,"Yes","No")</f>
        <v/>
      </c>
      <c r="J375" s="8">
        <f>F375*Assumptions!$B$6</f>
        <v/>
      </c>
      <c r="K375" s="10">
        <f>G375*J375</f>
        <v/>
      </c>
      <c r="L375" s="10">
        <f>IF(I375="Yes",G375*Assumptions!$B$5*J375,0)</f>
        <v/>
      </c>
    </row>
    <row r="376">
      <c r="A376" t="n">
        <v>983</v>
      </c>
      <c r="B376" t="inlineStr">
        <is>
          <t>Sales</t>
        </is>
      </c>
      <c r="C376" t="inlineStr">
        <is>
          <t>Sales Executive</t>
        </is>
      </c>
      <c r="D376" t="inlineStr">
        <is>
          <t>Yes</t>
        </is>
      </c>
      <c r="E376" s="8" t="n">
        <v>5666</v>
      </c>
      <c r="F376" s="8">
        <f>E376*Assumptions!$B$7</f>
        <v/>
      </c>
      <c r="G376" s="9" t="n">
        <v>0.0794</v>
      </c>
      <c r="H376" t="inlineStr">
        <is>
          <t>Low</t>
        </is>
      </c>
      <c r="I376">
        <f>IF(G376&gt;=Assumptions!$B$4,"Yes","No")</f>
        <v/>
      </c>
      <c r="J376" s="8">
        <f>F376*Assumptions!$B$6</f>
        <v/>
      </c>
      <c r="K376" s="10">
        <f>G376*J376</f>
        <v/>
      </c>
      <c r="L376" s="10">
        <f>IF(I376="Yes",G376*Assumptions!$B$5*J376,0)</f>
        <v/>
      </c>
    </row>
    <row r="377">
      <c r="A377" t="n">
        <v>784</v>
      </c>
      <c r="B377" t="inlineStr">
        <is>
          <t>Research &amp; Development</t>
        </is>
      </c>
      <c r="C377" t="inlineStr">
        <is>
          <t>Research Scientist</t>
        </is>
      </c>
      <c r="D377" t="inlineStr">
        <is>
          <t>No</t>
        </is>
      </c>
      <c r="E377" s="8" t="n">
        <v>3505</v>
      </c>
      <c r="F377" s="8">
        <f>E377*Assumptions!$B$7</f>
        <v/>
      </c>
      <c r="G377" s="9" t="n">
        <v>0.0793</v>
      </c>
      <c r="H377" t="inlineStr">
        <is>
          <t>Low</t>
        </is>
      </c>
      <c r="I377">
        <f>IF(G377&gt;=Assumptions!$B$4,"Yes","No")</f>
        <v/>
      </c>
      <c r="J377" s="8">
        <f>F377*Assumptions!$B$6</f>
        <v/>
      </c>
      <c r="K377" s="10">
        <f>G377*J377</f>
        <v/>
      </c>
      <c r="L377" s="10">
        <f>IF(I377="Yes",G377*Assumptions!$B$5*J377,0)</f>
        <v/>
      </c>
    </row>
    <row r="378">
      <c r="A378" t="n">
        <v>1430</v>
      </c>
      <c r="B378" t="inlineStr">
        <is>
          <t>Research &amp; Development</t>
        </is>
      </c>
      <c r="C378" t="inlineStr">
        <is>
          <t>Research Director</t>
        </is>
      </c>
      <c r="D378" t="inlineStr">
        <is>
          <t>No</t>
        </is>
      </c>
      <c r="E378" s="8" t="n">
        <v>16422</v>
      </c>
      <c r="F378" s="8">
        <f>E378*Assumptions!$B$7</f>
        <v/>
      </c>
      <c r="G378" s="9" t="n">
        <v>0.0793</v>
      </c>
      <c r="H378" t="inlineStr">
        <is>
          <t>Low</t>
        </is>
      </c>
      <c r="I378">
        <f>IF(G378&gt;=Assumptions!$B$4,"Yes","No")</f>
        <v/>
      </c>
      <c r="J378" s="8">
        <f>F378*Assumptions!$B$6</f>
        <v/>
      </c>
      <c r="K378" s="10">
        <f>G378*J378</f>
        <v/>
      </c>
      <c r="L378" s="10">
        <f>IF(I378="Yes",G378*Assumptions!$B$5*J378,0)</f>
        <v/>
      </c>
    </row>
    <row r="379">
      <c r="A379" t="n">
        <v>164</v>
      </c>
      <c r="B379" t="inlineStr">
        <is>
          <t>Research &amp; Development</t>
        </is>
      </c>
      <c r="C379" t="inlineStr">
        <is>
          <t>Research Scientist</t>
        </is>
      </c>
      <c r="D379" t="inlineStr">
        <is>
          <t>No</t>
        </is>
      </c>
      <c r="E379" s="8" t="n">
        <v>2368</v>
      </c>
      <c r="F379" s="8">
        <f>E379*Assumptions!$B$7</f>
        <v/>
      </c>
      <c r="G379" s="9" t="n">
        <v>0.079</v>
      </c>
      <c r="H379" t="inlineStr">
        <is>
          <t>Low</t>
        </is>
      </c>
      <c r="I379">
        <f>IF(G379&gt;=Assumptions!$B$4,"Yes","No")</f>
        <v/>
      </c>
      <c r="J379" s="8">
        <f>F379*Assumptions!$B$6</f>
        <v/>
      </c>
      <c r="K379" s="10">
        <f>G379*J379</f>
        <v/>
      </c>
      <c r="L379" s="10">
        <f>IF(I379="Yes",G379*Assumptions!$B$5*J379,0)</f>
        <v/>
      </c>
    </row>
    <row r="380">
      <c r="A380" t="n">
        <v>428</v>
      </c>
      <c r="B380" t="inlineStr">
        <is>
          <t>Research &amp; Development</t>
        </is>
      </c>
      <c r="C380" t="inlineStr">
        <is>
          <t>Manager</t>
        </is>
      </c>
      <c r="D380" t="inlineStr">
        <is>
          <t>No</t>
        </is>
      </c>
      <c r="E380" s="8" t="n">
        <v>11878</v>
      </c>
      <c r="F380" s="8">
        <f>E380*Assumptions!$B$7</f>
        <v/>
      </c>
      <c r="G380" s="9" t="n">
        <v>0.0789</v>
      </c>
      <c r="H380" t="inlineStr">
        <is>
          <t>Low</t>
        </is>
      </c>
      <c r="I380">
        <f>IF(G380&gt;=Assumptions!$B$4,"Yes","No")</f>
        <v/>
      </c>
      <c r="J380" s="8">
        <f>F380*Assumptions!$B$6</f>
        <v/>
      </c>
      <c r="K380" s="10">
        <f>G380*J380</f>
        <v/>
      </c>
      <c r="L380" s="10">
        <f>IF(I380="Yes",G380*Assumptions!$B$5*J380,0)</f>
        <v/>
      </c>
    </row>
    <row r="381">
      <c r="A381" t="n">
        <v>577</v>
      </c>
      <c r="B381" t="inlineStr">
        <is>
          <t>Research &amp; Development</t>
        </is>
      </c>
      <c r="C381" t="inlineStr">
        <is>
          <t>Laboratory Technician</t>
        </is>
      </c>
      <c r="D381" t="inlineStr">
        <is>
          <t>No</t>
        </is>
      </c>
      <c r="E381" s="8" t="n">
        <v>4230</v>
      </c>
      <c r="F381" s="8">
        <f>E381*Assumptions!$B$7</f>
        <v/>
      </c>
      <c r="G381" s="9" t="n">
        <v>0.0786</v>
      </c>
      <c r="H381" t="inlineStr">
        <is>
          <t>Low</t>
        </is>
      </c>
      <c r="I381">
        <f>IF(G381&gt;=Assumptions!$B$4,"Yes","No")</f>
        <v/>
      </c>
      <c r="J381" s="8">
        <f>F381*Assumptions!$B$6</f>
        <v/>
      </c>
      <c r="K381" s="10">
        <f>G381*J381</f>
        <v/>
      </c>
      <c r="L381" s="10">
        <f>IF(I381="Yes",G381*Assumptions!$B$5*J381,0)</f>
        <v/>
      </c>
    </row>
    <row r="382">
      <c r="A382" t="n">
        <v>524</v>
      </c>
      <c r="B382" t="inlineStr">
        <is>
          <t>Research &amp; Development</t>
        </is>
      </c>
      <c r="C382" t="inlineStr">
        <is>
          <t>Manufacturing Director</t>
        </is>
      </c>
      <c r="D382" t="inlineStr">
        <is>
          <t>No</t>
        </is>
      </c>
      <c r="E382" s="8" t="n">
        <v>4306</v>
      </c>
      <c r="F382" s="8">
        <f>E382*Assumptions!$B$7</f>
        <v/>
      </c>
      <c r="G382" s="9" t="n">
        <v>0.0786</v>
      </c>
      <c r="H382" t="inlineStr">
        <is>
          <t>Low</t>
        </is>
      </c>
      <c r="I382">
        <f>IF(G382&gt;=Assumptions!$B$4,"Yes","No")</f>
        <v/>
      </c>
      <c r="J382" s="8">
        <f>F382*Assumptions!$B$6</f>
        <v/>
      </c>
      <c r="K382" s="10">
        <f>G382*J382</f>
        <v/>
      </c>
      <c r="L382" s="10">
        <f>IF(I382="Yes",G382*Assumptions!$B$5*J382,0)</f>
        <v/>
      </c>
    </row>
    <row r="383">
      <c r="A383" t="n">
        <v>829</v>
      </c>
      <c r="B383" t="inlineStr">
        <is>
          <t>Human Resources</t>
        </is>
      </c>
      <c r="C383" t="inlineStr">
        <is>
          <t>Human Resources</t>
        </is>
      </c>
      <c r="D383" t="inlineStr">
        <is>
          <t>No</t>
        </is>
      </c>
      <c r="E383" s="8" t="n">
        <v>2143</v>
      </c>
      <c r="F383" s="8">
        <f>E383*Assumptions!$B$7</f>
        <v/>
      </c>
      <c r="G383" s="9" t="n">
        <v>0.07820000000000001</v>
      </c>
      <c r="H383" t="inlineStr">
        <is>
          <t>Low</t>
        </is>
      </c>
      <c r="I383">
        <f>IF(G383&gt;=Assumptions!$B$4,"Yes","No")</f>
        <v/>
      </c>
      <c r="J383" s="8">
        <f>F383*Assumptions!$B$6</f>
        <v/>
      </c>
      <c r="K383" s="10">
        <f>G383*J383</f>
        <v/>
      </c>
      <c r="L383" s="10">
        <f>IF(I383="Yes",G383*Assumptions!$B$5*J383,0)</f>
        <v/>
      </c>
    </row>
    <row r="384">
      <c r="A384" t="n">
        <v>1993</v>
      </c>
      <c r="B384" t="inlineStr">
        <is>
          <t>Research &amp; Development</t>
        </is>
      </c>
      <c r="C384" t="inlineStr">
        <is>
          <t>Healthcare Representative</t>
        </is>
      </c>
      <c r="D384" t="inlineStr">
        <is>
          <t>No</t>
        </is>
      </c>
      <c r="E384" s="8" t="n">
        <v>8633</v>
      </c>
      <c r="F384" s="8">
        <f>E384*Assumptions!$B$7</f>
        <v/>
      </c>
      <c r="G384" s="9" t="n">
        <v>0.0779</v>
      </c>
      <c r="H384" t="inlineStr">
        <is>
          <t>Low</t>
        </is>
      </c>
      <c r="I384">
        <f>IF(G384&gt;=Assumptions!$B$4,"Yes","No")</f>
        <v/>
      </c>
      <c r="J384" s="8">
        <f>F384*Assumptions!$B$6</f>
        <v/>
      </c>
      <c r="K384" s="10">
        <f>G384*J384</f>
        <v/>
      </c>
      <c r="L384" s="10">
        <f>IF(I384="Yes",G384*Assumptions!$B$5*J384,0)</f>
        <v/>
      </c>
    </row>
    <row r="385">
      <c r="A385" t="n">
        <v>698</v>
      </c>
      <c r="B385" t="inlineStr">
        <is>
          <t>Human Resources</t>
        </is>
      </c>
      <c r="C385" t="inlineStr">
        <is>
          <t>Human Resources</t>
        </is>
      </c>
      <c r="D385" t="inlineStr">
        <is>
          <t>No</t>
        </is>
      </c>
      <c r="E385" s="8" t="n">
        <v>10725</v>
      </c>
      <c r="F385" s="8">
        <f>E385*Assumptions!$B$7</f>
        <v/>
      </c>
      <c r="G385" s="9" t="n">
        <v>0.0776</v>
      </c>
      <c r="H385" t="inlineStr">
        <is>
          <t>Low</t>
        </is>
      </c>
      <c r="I385">
        <f>IF(G385&gt;=Assumptions!$B$4,"Yes","No")</f>
        <v/>
      </c>
      <c r="J385" s="8">
        <f>F385*Assumptions!$B$6</f>
        <v/>
      </c>
      <c r="K385" s="10">
        <f>G385*J385</f>
        <v/>
      </c>
      <c r="L385" s="10">
        <f>IF(I385="Yes",G385*Assumptions!$B$5*J385,0)</f>
        <v/>
      </c>
    </row>
    <row r="386">
      <c r="A386" t="n">
        <v>174</v>
      </c>
      <c r="B386" t="inlineStr">
        <is>
          <t>Sales</t>
        </is>
      </c>
      <c r="C386" t="inlineStr">
        <is>
          <t>Sales Executive</t>
        </is>
      </c>
      <c r="D386" t="inlineStr">
        <is>
          <t>No</t>
        </is>
      </c>
      <c r="E386" s="8" t="n">
        <v>9208</v>
      </c>
      <c r="F386" s="8">
        <f>E386*Assumptions!$B$7</f>
        <v/>
      </c>
      <c r="G386" s="9" t="n">
        <v>0.0776</v>
      </c>
      <c r="H386" t="inlineStr">
        <is>
          <t>Low</t>
        </is>
      </c>
      <c r="I386">
        <f>IF(G386&gt;=Assumptions!$B$4,"Yes","No")</f>
        <v/>
      </c>
      <c r="J386" s="8">
        <f>F386*Assumptions!$B$6</f>
        <v/>
      </c>
      <c r="K386" s="10">
        <f>G386*J386</f>
        <v/>
      </c>
      <c r="L386" s="10">
        <f>IF(I386="Yes",G386*Assumptions!$B$5*J386,0)</f>
        <v/>
      </c>
    </row>
    <row r="387">
      <c r="A387" t="n">
        <v>852</v>
      </c>
      <c r="B387" t="inlineStr">
        <is>
          <t>Research &amp; Development</t>
        </is>
      </c>
      <c r="C387" t="inlineStr">
        <is>
          <t>Healthcare Representative</t>
        </is>
      </c>
      <c r="D387" t="inlineStr">
        <is>
          <t>No</t>
        </is>
      </c>
      <c r="E387" s="8" t="n">
        <v>5933</v>
      </c>
      <c r="F387" s="8">
        <f>E387*Assumptions!$B$7</f>
        <v/>
      </c>
      <c r="G387" s="9" t="n">
        <v>0.0774</v>
      </c>
      <c r="H387" t="inlineStr">
        <is>
          <t>Low</t>
        </is>
      </c>
      <c r="I387">
        <f>IF(G387&gt;=Assumptions!$B$4,"Yes","No")</f>
        <v/>
      </c>
      <c r="J387" s="8">
        <f>F387*Assumptions!$B$6</f>
        <v/>
      </c>
      <c r="K387" s="10">
        <f>G387*J387</f>
        <v/>
      </c>
      <c r="L387" s="10">
        <f>IF(I387="Yes",G387*Assumptions!$B$5*J387,0)</f>
        <v/>
      </c>
    </row>
    <row r="388">
      <c r="A388" t="n">
        <v>624</v>
      </c>
      <c r="B388" t="inlineStr">
        <is>
          <t>Research &amp; Development</t>
        </is>
      </c>
      <c r="C388" t="inlineStr">
        <is>
          <t>Healthcare Representative</t>
        </is>
      </c>
      <c r="D388" t="inlineStr">
        <is>
          <t>No</t>
        </is>
      </c>
      <c r="E388" s="8" t="n">
        <v>10527</v>
      </c>
      <c r="F388" s="8">
        <f>E388*Assumptions!$B$7</f>
        <v/>
      </c>
      <c r="G388" s="9" t="n">
        <v>0.07729999999999999</v>
      </c>
      <c r="H388" t="inlineStr">
        <is>
          <t>Low</t>
        </is>
      </c>
      <c r="I388">
        <f>IF(G388&gt;=Assumptions!$B$4,"Yes","No")</f>
        <v/>
      </c>
      <c r="J388" s="8">
        <f>F388*Assumptions!$B$6</f>
        <v/>
      </c>
      <c r="K388" s="10">
        <f>G388*J388</f>
        <v/>
      </c>
      <c r="L388" s="10">
        <f>IF(I388="Yes",G388*Assumptions!$B$5*J388,0)</f>
        <v/>
      </c>
    </row>
    <row r="389">
      <c r="A389" t="n">
        <v>1560</v>
      </c>
      <c r="B389" t="inlineStr">
        <is>
          <t>Sales</t>
        </is>
      </c>
      <c r="C389" t="inlineStr">
        <is>
          <t>Sales Executive</t>
        </is>
      </c>
      <c r="D389" t="inlineStr">
        <is>
          <t>No</t>
        </is>
      </c>
      <c r="E389" s="8" t="n">
        <v>6392</v>
      </c>
      <c r="F389" s="8">
        <f>E389*Assumptions!$B$7</f>
        <v/>
      </c>
      <c r="G389" s="9" t="n">
        <v>0.07679999999999999</v>
      </c>
      <c r="H389" t="inlineStr">
        <is>
          <t>Low</t>
        </is>
      </c>
      <c r="I389">
        <f>IF(G389&gt;=Assumptions!$B$4,"Yes","No")</f>
        <v/>
      </c>
      <c r="J389" s="8">
        <f>F389*Assumptions!$B$6</f>
        <v/>
      </c>
      <c r="K389" s="10">
        <f>G389*J389</f>
        <v/>
      </c>
      <c r="L389" s="10">
        <f>IF(I389="Yes",G389*Assumptions!$B$5*J389,0)</f>
        <v/>
      </c>
    </row>
    <row r="390">
      <c r="A390" t="n">
        <v>1294</v>
      </c>
      <c r="B390" t="inlineStr">
        <is>
          <t>Research &amp; Development</t>
        </is>
      </c>
      <c r="C390" t="inlineStr">
        <is>
          <t>Manufacturing Director</t>
        </is>
      </c>
      <c r="D390" t="inlineStr">
        <is>
          <t>Yes</t>
        </is>
      </c>
      <c r="E390" s="8" t="n">
        <v>5410</v>
      </c>
      <c r="F390" s="8">
        <f>E390*Assumptions!$B$7</f>
        <v/>
      </c>
      <c r="G390" s="9" t="n">
        <v>0.0766</v>
      </c>
      <c r="H390" t="inlineStr">
        <is>
          <t>Low</t>
        </is>
      </c>
      <c r="I390">
        <f>IF(G390&gt;=Assumptions!$B$4,"Yes","No")</f>
        <v/>
      </c>
      <c r="J390" s="8">
        <f>F390*Assumptions!$B$6</f>
        <v/>
      </c>
      <c r="K390" s="10">
        <f>G390*J390</f>
        <v/>
      </c>
      <c r="L390" s="10">
        <f>IF(I390="Yes",G390*Assumptions!$B$5*J390,0)</f>
        <v/>
      </c>
    </row>
    <row r="391">
      <c r="A391" t="n">
        <v>1768</v>
      </c>
      <c r="B391" t="inlineStr">
        <is>
          <t>Research &amp; Development</t>
        </is>
      </c>
      <c r="C391" t="inlineStr">
        <is>
          <t>Laboratory Technician</t>
        </is>
      </c>
      <c r="D391" t="inlineStr">
        <is>
          <t>No</t>
        </is>
      </c>
      <c r="E391" s="8" t="n">
        <v>2766</v>
      </c>
      <c r="F391" s="8">
        <f>E391*Assumptions!$B$7</f>
        <v/>
      </c>
      <c r="G391" s="9" t="n">
        <v>0.0764</v>
      </c>
      <c r="H391" t="inlineStr">
        <is>
          <t>Low</t>
        </is>
      </c>
      <c r="I391">
        <f>IF(G391&gt;=Assumptions!$B$4,"Yes","No")</f>
        <v/>
      </c>
      <c r="J391" s="8">
        <f>F391*Assumptions!$B$6</f>
        <v/>
      </c>
      <c r="K391" s="10">
        <f>G391*J391</f>
        <v/>
      </c>
      <c r="L391" s="10">
        <f>IF(I391="Yes",G391*Assumptions!$B$5*J391,0)</f>
        <v/>
      </c>
    </row>
    <row r="392">
      <c r="A392" t="n">
        <v>875</v>
      </c>
      <c r="B392" t="inlineStr">
        <is>
          <t>Research &amp; Development</t>
        </is>
      </c>
      <c r="C392" t="inlineStr">
        <is>
          <t>Research Scientist</t>
        </is>
      </c>
      <c r="D392" t="inlineStr">
        <is>
          <t>Yes</t>
        </is>
      </c>
      <c r="E392" s="8" t="n">
        <v>2515</v>
      </c>
      <c r="F392" s="8">
        <f>E392*Assumptions!$B$7</f>
        <v/>
      </c>
      <c r="G392" s="9" t="n">
        <v>0.0764</v>
      </c>
      <c r="H392" t="inlineStr">
        <is>
          <t>Low</t>
        </is>
      </c>
      <c r="I392">
        <f>IF(G392&gt;=Assumptions!$B$4,"Yes","No")</f>
        <v/>
      </c>
      <c r="J392" s="8">
        <f>F392*Assumptions!$B$6</f>
        <v/>
      </c>
      <c r="K392" s="10">
        <f>G392*J392</f>
        <v/>
      </c>
      <c r="L392" s="10">
        <f>IF(I392="Yes",G392*Assumptions!$B$5*J392,0)</f>
        <v/>
      </c>
    </row>
    <row r="393">
      <c r="A393" t="n">
        <v>760</v>
      </c>
      <c r="B393" t="inlineStr">
        <is>
          <t>Human Resources</t>
        </is>
      </c>
      <c r="C393" t="inlineStr">
        <is>
          <t>Human Resources</t>
        </is>
      </c>
      <c r="D393" t="inlineStr">
        <is>
          <t>No</t>
        </is>
      </c>
      <c r="E393" s="8" t="n">
        <v>6389</v>
      </c>
      <c r="F393" s="8">
        <f>E393*Assumptions!$B$7</f>
        <v/>
      </c>
      <c r="G393" s="9" t="n">
        <v>0.07630000000000001</v>
      </c>
      <c r="H393" t="inlineStr">
        <is>
          <t>Low</t>
        </is>
      </c>
      <c r="I393">
        <f>IF(G393&gt;=Assumptions!$B$4,"Yes","No")</f>
        <v/>
      </c>
      <c r="J393" s="8">
        <f>F393*Assumptions!$B$6</f>
        <v/>
      </c>
      <c r="K393" s="10">
        <f>G393*J393</f>
        <v/>
      </c>
      <c r="L393" s="10">
        <f>IF(I393="Yes",G393*Assumptions!$B$5*J393,0)</f>
        <v/>
      </c>
    </row>
    <row r="394">
      <c r="A394" t="n">
        <v>1980</v>
      </c>
      <c r="B394" t="inlineStr">
        <is>
          <t>Research &amp; Development</t>
        </is>
      </c>
      <c r="C394" t="inlineStr">
        <is>
          <t>Manufacturing Director</t>
        </is>
      </c>
      <c r="D394" t="inlineStr">
        <is>
          <t>Yes</t>
        </is>
      </c>
      <c r="E394" s="8" t="n">
        <v>4440</v>
      </c>
      <c r="F394" s="8">
        <f>E394*Assumptions!$B$7</f>
        <v/>
      </c>
      <c r="G394" s="9" t="n">
        <v>0.0762</v>
      </c>
      <c r="H394" t="inlineStr">
        <is>
          <t>Low</t>
        </is>
      </c>
      <c r="I394">
        <f>IF(G394&gt;=Assumptions!$B$4,"Yes","No")</f>
        <v/>
      </c>
      <c r="J394" s="8">
        <f>F394*Assumptions!$B$6</f>
        <v/>
      </c>
      <c r="K394" s="10">
        <f>G394*J394</f>
        <v/>
      </c>
      <c r="L394" s="10">
        <f>IF(I394="Yes",G394*Assumptions!$B$5*J394,0)</f>
        <v/>
      </c>
    </row>
    <row r="395">
      <c r="A395" t="n">
        <v>74</v>
      </c>
      <c r="B395" t="inlineStr">
        <is>
          <t>Sales</t>
        </is>
      </c>
      <c r="C395" t="inlineStr">
        <is>
          <t>Sales Executive</t>
        </is>
      </c>
      <c r="D395" t="inlineStr">
        <is>
          <t>No</t>
        </is>
      </c>
      <c r="E395" s="8" t="n">
        <v>9069</v>
      </c>
      <c r="F395" s="8">
        <f>E395*Assumptions!$B$7</f>
        <v/>
      </c>
      <c r="G395" s="9" t="n">
        <v>0.0762</v>
      </c>
      <c r="H395" t="inlineStr">
        <is>
          <t>Low</t>
        </is>
      </c>
      <c r="I395">
        <f>IF(G395&gt;=Assumptions!$B$4,"Yes","No")</f>
        <v/>
      </c>
      <c r="J395" s="8">
        <f>F395*Assumptions!$B$6</f>
        <v/>
      </c>
      <c r="K395" s="10">
        <f>G395*J395</f>
        <v/>
      </c>
      <c r="L395" s="10">
        <f>IF(I395="Yes",G395*Assumptions!$B$5*J395,0)</f>
        <v/>
      </c>
    </row>
    <row r="396">
      <c r="A396" t="n">
        <v>453</v>
      </c>
      <c r="B396" t="inlineStr">
        <is>
          <t>Sales</t>
        </is>
      </c>
      <c r="C396" t="inlineStr">
        <is>
          <t>Sales Executive</t>
        </is>
      </c>
      <c r="D396" t="inlineStr">
        <is>
          <t>Yes</t>
        </is>
      </c>
      <c r="E396" s="8" t="n">
        <v>7457</v>
      </c>
      <c r="F396" s="8">
        <f>E396*Assumptions!$B$7</f>
        <v/>
      </c>
      <c r="G396" s="9" t="n">
        <v>0.0759</v>
      </c>
      <c r="H396" t="inlineStr">
        <is>
          <t>Low</t>
        </is>
      </c>
      <c r="I396">
        <f>IF(G396&gt;=Assumptions!$B$4,"Yes","No")</f>
        <v/>
      </c>
      <c r="J396" s="8">
        <f>F396*Assumptions!$B$6</f>
        <v/>
      </c>
      <c r="K396" s="10">
        <f>G396*J396</f>
        <v/>
      </c>
      <c r="L396" s="10">
        <f>IF(I396="Yes",G396*Assumptions!$B$5*J396,0)</f>
        <v/>
      </c>
    </row>
    <row r="397">
      <c r="A397" t="n">
        <v>24</v>
      </c>
      <c r="B397" t="inlineStr">
        <is>
          <t>Research &amp; Development</t>
        </is>
      </c>
      <c r="C397" t="inlineStr">
        <is>
          <t>Research Scientist</t>
        </is>
      </c>
      <c r="D397" t="inlineStr">
        <is>
          <t>Yes</t>
        </is>
      </c>
      <c r="E397" s="8" t="n">
        <v>3944</v>
      </c>
      <c r="F397" s="8">
        <f>E397*Assumptions!$B$7</f>
        <v/>
      </c>
      <c r="G397" s="9" t="n">
        <v>0.0756</v>
      </c>
      <c r="H397" t="inlineStr">
        <is>
          <t>Low</t>
        </is>
      </c>
      <c r="I397">
        <f>IF(G397&gt;=Assumptions!$B$4,"Yes","No")</f>
        <v/>
      </c>
      <c r="J397" s="8">
        <f>F397*Assumptions!$B$6</f>
        <v/>
      </c>
      <c r="K397" s="10">
        <f>G397*J397</f>
        <v/>
      </c>
      <c r="L397" s="10">
        <f>IF(I397="Yes",G397*Assumptions!$B$5*J397,0)</f>
        <v/>
      </c>
    </row>
    <row r="398">
      <c r="A398" t="n">
        <v>1364</v>
      </c>
      <c r="B398" t="inlineStr">
        <is>
          <t>Sales</t>
        </is>
      </c>
      <c r="C398" t="inlineStr">
        <is>
          <t>Sales Representative</t>
        </is>
      </c>
      <c r="D398" t="inlineStr">
        <is>
          <t>No</t>
        </is>
      </c>
      <c r="E398" s="8" t="n">
        <v>2534</v>
      </c>
      <c r="F398" s="8">
        <f>E398*Assumptions!$B$7</f>
        <v/>
      </c>
      <c r="G398" s="9" t="n">
        <v>0.07539999999999999</v>
      </c>
      <c r="H398" t="inlineStr">
        <is>
          <t>Low</t>
        </is>
      </c>
      <c r="I398">
        <f>IF(G398&gt;=Assumptions!$B$4,"Yes","No")</f>
        <v/>
      </c>
      <c r="J398" s="8">
        <f>F398*Assumptions!$B$6</f>
        <v/>
      </c>
      <c r="K398" s="10">
        <f>G398*J398</f>
        <v/>
      </c>
      <c r="L398" s="10">
        <f>IF(I398="Yes",G398*Assumptions!$B$5*J398,0)</f>
        <v/>
      </c>
    </row>
    <row r="399">
      <c r="A399" t="n">
        <v>1216</v>
      </c>
      <c r="B399" t="inlineStr">
        <is>
          <t>Research &amp; Development</t>
        </is>
      </c>
      <c r="C399" t="inlineStr">
        <is>
          <t>Laboratory Technician</t>
        </is>
      </c>
      <c r="D399" t="inlineStr">
        <is>
          <t>No</t>
        </is>
      </c>
      <c r="E399" s="8" t="n">
        <v>3196</v>
      </c>
      <c r="F399" s="8">
        <f>E399*Assumptions!$B$7</f>
        <v/>
      </c>
      <c r="G399" s="9" t="n">
        <v>0.0752</v>
      </c>
      <c r="H399" t="inlineStr">
        <is>
          <t>Low</t>
        </is>
      </c>
      <c r="I399">
        <f>IF(G399&gt;=Assumptions!$B$4,"Yes","No")</f>
        <v/>
      </c>
      <c r="J399" s="8">
        <f>F399*Assumptions!$B$6</f>
        <v/>
      </c>
      <c r="K399" s="10">
        <f>G399*J399</f>
        <v/>
      </c>
      <c r="L399" s="10">
        <f>IF(I399="Yes",G399*Assumptions!$B$5*J399,0)</f>
        <v/>
      </c>
    </row>
    <row r="400">
      <c r="A400" t="n">
        <v>1028</v>
      </c>
      <c r="B400" t="inlineStr">
        <is>
          <t>Research &amp; Development</t>
        </is>
      </c>
      <c r="C400" t="inlineStr">
        <is>
          <t>Laboratory Technician</t>
        </is>
      </c>
      <c r="D400" t="inlineStr">
        <is>
          <t>No</t>
        </is>
      </c>
      <c r="E400" s="8" t="n">
        <v>3917</v>
      </c>
      <c r="F400" s="8">
        <f>E400*Assumptions!$B$7</f>
        <v/>
      </c>
      <c r="G400" s="9" t="n">
        <v>0.075</v>
      </c>
      <c r="H400" t="inlineStr">
        <is>
          <t>Low</t>
        </is>
      </c>
      <c r="I400">
        <f>IF(G400&gt;=Assumptions!$B$4,"Yes","No")</f>
        <v/>
      </c>
      <c r="J400" s="8">
        <f>F400*Assumptions!$B$6</f>
        <v/>
      </c>
      <c r="K400" s="10">
        <f>G400*J400</f>
        <v/>
      </c>
      <c r="L400" s="10">
        <f>IF(I400="Yes",G400*Assumptions!$B$5*J400,0)</f>
        <v/>
      </c>
    </row>
    <row r="401">
      <c r="A401" t="n">
        <v>1833</v>
      </c>
      <c r="B401" t="inlineStr">
        <is>
          <t>Sales</t>
        </is>
      </c>
      <c r="C401" t="inlineStr">
        <is>
          <t>Sales Executive</t>
        </is>
      </c>
      <c r="D401" t="inlineStr">
        <is>
          <t>No</t>
        </is>
      </c>
      <c r="E401" s="8" t="n">
        <v>9637</v>
      </c>
      <c r="F401" s="8">
        <f>E401*Assumptions!$B$7</f>
        <v/>
      </c>
      <c r="G401" s="9" t="n">
        <v>0.07480000000000001</v>
      </c>
      <c r="H401" t="inlineStr">
        <is>
          <t>Low</t>
        </is>
      </c>
      <c r="I401">
        <f>IF(G401&gt;=Assumptions!$B$4,"Yes","No")</f>
        <v/>
      </c>
      <c r="J401" s="8">
        <f>F401*Assumptions!$B$6</f>
        <v/>
      </c>
      <c r="K401" s="10">
        <f>G401*J401</f>
        <v/>
      </c>
      <c r="L401" s="10">
        <f>IF(I401="Yes",G401*Assumptions!$B$5*J401,0)</f>
        <v/>
      </c>
    </row>
    <row r="402">
      <c r="A402" t="n">
        <v>106</v>
      </c>
      <c r="B402" t="inlineStr">
        <is>
          <t>Sales</t>
        </is>
      </c>
      <c r="C402" t="inlineStr">
        <is>
          <t>Sales Executive</t>
        </is>
      </c>
      <c r="D402" t="inlineStr">
        <is>
          <t>No</t>
        </is>
      </c>
      <c r="E402" s="8" t="n">
        <v>10239</v>
      </c>
      <c r="F402" s="8">
        <f>E402*Assumptions!$B$7</f>
        <v/>
      </c>
      <c r="G402" s="9" t="n">
        <v>0.0746</v>
      </c>
      <c r="H402" t="inlineStr">
        <is>
          <t>Low</t>
        </is>
      </c>
      <c r="I402">
        <f>IF(G402&gt;=Assumptions!$B$4,"Yes","No")</f>
        <v/>
      </c>
      <c r="J402" s="8">
        <f>F402*Assumptions!$B$6</f>
        <v/>
      </c>
      <c r="K402" s="10">
        <f>G402*J402</f>
        <v/>
      </c>
      <c r="L402" s="10">
        <f>IF(I402="Yes",G402*Assumptions!$B$5*J402,0)</f>
        <v/>
      </c>
    </row>
    <row r="403">
      <c r="A403" t="n">
        <v>1966</v>
      </c>
      <c r="B403" t="inlineStr">
        <is>
          <t>Research &amp; Development</t>
        </is>
      </c>
      <c r="C403" t="inlineStr">
        <is>
          <t>Manufacturing Director</t>
        </is>
      </c>
      <c r="D403" t="inlineStr">
        <is>
          <t>No</t>
        </is>
      </c>
      <c r="E403" s="8" t="n">
        <v>9679</v>
      </c>
      <c r="F403" s="8">
        <f>E403*Assumptions!$B$7</f>
        <v/>
      </c>
      <c r="G403" s="9" t="n">
        <v>0.0736</v>
      </c>
      <c r="H403" t="inlineStr">
        <is>
          <t>Low</t>
        </is>
      </c>
      <c r="I403">
        <f>IF(G403&gt;=Assumptions!$B$4,"Yes","No")</f>
        <v/>
      </c>
      <c r="J403" s="8">
        <f>F403*Assumptions!$B$6</f>
        <v/>
      </c>
      <c r="K403" s="10">
        <f>G403*J403</f>
        <v/>
      </c>
      <c r="L403" s="10">
        <f>IF(I403="Yes",G403*Assumptions!$B$5*J403,0)</f>
        <v/>
      </c>
    </row>
    <row r="404">
      <c r="A404" t="n">
        <v>1403</v>
      </c>
      <c r="B404" t="inlineStr">
        <is>
          <t>Sales</t>
        </is>
      </c>
      <c r="C404" t="inlineStr">
        <is>
          <t>Sales Executive</t>
        </is>
      </c>
      <c r="D404" t="inlineStr">
        <is>
          <t>Yes</t>
        </is>
      </c>
      <c r="E404" s="8" t="n">
        <v>5769</v>
      </c>
      <c r="F404" s="8">
        <f>E404*Assumptions!$B$7</f>
        <v/>
      </c>
      <c r="G404" s="9" t="n">
        <v>0.0733</v>
      </c>
      <c r="H404" t="inlineStr">
        <is>
          <t>Low</t>
        </is>
      </c>
      <c r="I404">
        <f>IF(G404&gt;=Assumptions!$B$4,"Yes","No")</f>
        <v/>
      </c>
      <c r="J404" s="8">
        <f>F404*Assumptions!$B$6</f>
        <v/>
      </c>
      <c r="K404" s="10">
        <f>G404*J404</f>
        <v/>
      </c>
      <c r="L404" s="10">
        <f>IF(I404="Yes",G404*Assumptions!$B$5*J404,0)</f>
        <v/>
      </c>
    </row>
    <row r="405">
      <c r="A405" t="n">
        <v>497</v>
      </c>
      <c r="B405" t="inlineStr">
        <is>
          <t>Research &amp; Development</t>
        </is>
      </c>
      <c r="C405" t="inlineStr">
        <is>
          <t>Laboratory Technician</t>
        </is>
      </c>
      <c r="D405" t="inlineStr">
        <is>
          <t>No</t>
        </is>
      </c>
      <c r="E405" s="8" t="n">
        <v>3816</v>
      </c>
      <c r="F405" s="8">
        <f>E405*Assumptions!$B$7</f>
        <v/>
      </c>
      <c r="G405" s="9" t="n">
        <v>0.073</v>
      </c>
      <c r="H405" t="inlineStr">
        <is>
          <t>Low</t>
        </is>
      </c>
      <c r="I405">
        <f>IF(G405&gt;=Assumptions!$B$4,"Yes","No")</f>
        <v/>
      </c>
      <c r="J405" s="8">
        <f>F405*Assumptions!$B$6</f>
        <v/>
      </c>
      <c r="K405" s="10">
        <f>G405*J405</f>
        <v/>
      </c>
      <c r="L405" s="10">
        <f>IF(I405="Yes",G405*Assumptions!$B$5*J405,0)</f>
        <v/>
      </c>
    </row>
    <row r="406">
      <c r="A406" t="n">
        <v>864</v>
      </c>
      <c r="B406" t="inlineStr">
        <is>
          <t>Sales</t>
        </is>
      </c>
      <c r="C406" t="inlineStr">
        <is>
          <t>Sales Executive</t>
        </is>
      </c>
      <c r="D406" t="inlineStr">
        <is>
          <t>Yes</t>
        </is>
      </c>
      <c r="E406" s="8" t="n">
        <v>10761</v>
      </c>
      <c r="F406" s="8">
        <f>E406*Assumptions!$B$7</f>
        <v/>
      </c>
      <c r="G406" s="9" t="n">
        <v>0.07290000000000001</v>
      </c>
      <c r="H406" t="inlineStr">
        <is>
          <t>Low</t>
        </is>
      </c>
      <c r="I406">
        <f>IF(G406&gt;=Assumptions!$B$4,"Yes","No")</f>
        <v/>
      </c>
      <c r="J406" s="8">
        <f>F406*Assumptions!$B$6</f>
        <v/>
      </c>
      <c r="K406" s="10">
        <f>G406*J406</f>
        <v/>
      </c>
      <c r="L406" s="10">
        <f>IF(I406="Yes",G406*Assumptions!$B$5*J406,0)</f>
        <v/>
      </c>
    </row>
    <row r="407">
      <c r="A407" t="n">
        <v>91</v>
      </c>
      <c r="B407" t="inlineStr">
        <is>
          <t>Sales</t>
        </is>
      </c>
      <c r="C407" t="inlineStr">
        <is>
          <t>Sales Executive</t>
        </is>
      </c>
      <c r="D407" t="inlineStr">
        <is>
          <t>No</t>
        </is>
      </c>
      <c r="E407" s="8" t="n">
        <v>5473</v>
      </c>
      <c r="F407" s="8">
        <f>E407*Assumptions!$B$7</f>
        <v/>
      </c>
      <c r="G407" s="9" t="n">
        <v>0.0726</v>
      </c>
      <c r="H407" t="inlineStr">
        <is>
          <t>Low</t>
        </is>
      </c>
      <c r="I407">
        <f>IF(G407&gt;=Assumptions!$B$4,"Yes","No")</f>
        <v/>
      </c>
      <c r="J407" s="8">
        <f>F407*Assumptions!$B$6</f>
        <v/>
      </c>
      <c r="K407" s="10">
        <f>G407*J407</f>
        <v/>
      </c>
      <c r="L407" s="10">
        <f>IF(I407="Yes",G407*Assumptions!$B$5*J407,0)</f>
        <v/>
      </c>
    </row>
    <row r="408">
      <c r="A408" t="n">
        <v>463</v>
      </c>
      <c r="B408" t="inlineStr">
        <is>
          <t>Sales</t>
        </is>
      </c>
      <c r="C408" t="inlineStr">
        <is>
          <t>Sales Executive</t>
        </is>
      </c>
      <c r="D408" t="inlineStr">
        <is>
          <t>Yes</t>
        </is>
      </c>
      <c r="E408" s="8" t="n">
        <v>8268</v>
      </c>
      <c r="F408" s="8">
        <f>E408*Assumptions!$B$7</f>
        <v/>
      </c>
      <c r="G408" s="9" t="n">
        <v>0.0726</v>
      </c>
      <c r="H408" t="inlineStr">
        <is>
          <t>Low</t>
        </is>
      </c>
      <c r="I408">
        <f>IF(G408&gt;=Assumptions!$B$4,"Yes","No")</f>
        <v/>
      </c>
      <c r="J408" s="8">
        <f>F408*Assumptions!$B$6</f>
        <v/>
      </c>
      <c r="K408" s="10">
        <f>G408*J408</f>
        <v/>
      </c>
      <c r="L408" s="10">
        <f>IF(I408="Yes",G408*Assumptions!$B$5*J408,0)</f>
        <v/>
      </c>
    </row>
    <row r="409">
      <c r="A409" t="n">
        <v>1062</v>
      </c>
      <c r="B409" t="inlineStr">
        <is>
          <t>Research &amp; Development</t>
        </is>
      </c>
      <c r="C409" t="inlineStr">
        <is>
          <t>Healthcare Representative</t>
        </is>
      </c>
      <c r="D409" t="inlineStr">
        <is>
          <t>No</t>
        </is>
      </c>
      <c r="E409" s="8" t="n">
        <v>4107</v>
      </c>
      <c r="F409" s="8">
        <f>E409*Assumptions!$B$7</f>
        <v/>
      </c>
      <c r="G409" s="9" t="n">
        <v>0.0725</v>
      </c>
      <c r="H409" t="inlineStr">
        <is>
          <t>Low</t>
        </is>
      </c>
      <c r="I409">
        <f>IF(G409&gt;=Assumptions!$B$4,"Yes","No")</f>
        <v/>
      </c>
      <c r="J409" s="8">
        <f>F409*Assumptions!$B$6</f>
        <v/>
      </c>
      <c r="K409" s="10">
        <f>G409*J409</f>
        <v/>
      </c>
      <c r="L409" s="10">
        <f>IF(I409="Yes",G409*Assumptions!$B$5*J409,0)</f>
        <v/>
      </c>
    </row>
    <row r="410">
      <c r="A410" t="n">
        <v>1074</v>
      </c>
      <c r="B410" t="inlineStr">
        <is>
          <t>Research &amp; Development</t>
        </is>
      </c>
      <c r="C410" t="inlineStr">
        <is>
          <t>Manager</t>
        </is>
      </c>
      <c r="D410" t="inlineStr">
        <is>
          <t>No</t>
        </is>
      </c>
      <c r="E410" s="8" t="n">
        <v>16756</v>
      </c>
      <c r="F410" s="8">
        <f>E410*Assumptions!$B$7</f>
        <v/>
      </c>
      <c r="G410" s="9" t="n">
        <v>0.07240000000000001</v>
      </c>
      <c r="H410" t="inlineStr">
        <is>
          <t>Low</t>
        </is>
      </c>
      <c r="I410">
        <f>IF(G410&gt;=Assumptions!$B$4,"Yes","No")</f>
        <v/>
      </c>
      <c r="J410" s="8">
        <f>F410*Assumptions!$B$6</f>
        <v/>
      </c>
      <c r="K410" s="10">
        <f>G410*J410</f>
        <v/>
      </c>
      <c r="L410" s="10">
        <f>IF(I410="Yes",G410*Assumptions!$B$5*J410,0)</f>
        <v/>
      </c>
    </row>
    <row r="411">
      <c r="A411" t="n">
        <v>872</v>
      </c>
      <c r="B411" t="inlineStr">
        <is>
          <t>Research &amp; Development</t>
        </is>
      </c>
      <c r="C411" t="inlineStr">
        <is>
          <t>Manufacturing Director</t>
        </is>
      </c>
      <c r="D411" t="inlineStr">
        <is>
          <t>No</t>
        </is>
      </c>
      <c r="E411" s="8" t="n">
        <v>4775</v>
      </c>
      <c r="F411" s="8">
        <f>E411*Assumptions!$B$7</f>
        <v/>
      </c>
      <c r="G411" s="9" t="n">
        <v>0.07240000000000001</v>
      </c>
      <c r="H411" t="inlineStr">
        <is>
          <t>Low</t>
        </is>
      </c>
      <c r="I411">
        <f>IF(G411&gt;=Assumptions!$B$4,"Yes","No")</f>
        <v/>
      </c>
      <c r="J411" s="8">
        <f>F411*Assumptions!$B$6</f>
        <v/>
      </c>
      <c r="K411" s="10">
        <f>G411*J411</f>
        <v/>
      </c>
      <c r="L411" s="10">
        <f>IF(I411="Yes",G411*Assumptions!$B$5*J411,0)</f>
        <v/>
      </c>
    </row>
    <row r="412">
      <c r="A412" t="n">
        <v>1076</v>
      </c>
      <c r="B412" t="inlineStr">
        <is>
          <t>Sales</t>
        </is>
      </c>
      <c r="C412" t="inlineStr">
        <is>
          <t>Sales Executive</t>
        </is>
      </c>
      <c r="D412" t="inlineStr">
        <is>
          <t>No</t>
        </is>
      </c>
      <c r="E412" s="8" t="n">
        <v>10798</v>
      </c>
      <c r="F412" s="8">
        <f>E412*Assumptions!$B$7</f>
        <v/>
      </c>
      <c r="G412" s="9" t="n">
        <v>0.0722</v>
      </c>
      <c r="H412" t="inlineStr">
        <is>
          <t>Low</t>
        </is>
      </c>
      <c r="I412">
        <f>IF(G412&gt;=Assumptions!$B$4,"Yes","No")</f>
        <v/>
      </c>
      <c r="J412" s="8">
        <f>F412*Assumptions!$B$6</f>
        <v/>
      </c>
      <c r="K412" s="10">
        <f>G412*J412</f>
        <v/>
      </c>
      <c r="L412" s="10">
        <f>IF(I412="Yes",G412*Assumptions!$B$5*J412,0)</f>
        <v/>
      </c>
    </row>
    <row r="413">
      <c r="A413" t="n">
        <v>1185</v>
      </c>
      <c r="B413" t="inlineStr">
        <is>
          <t>Research &amp; Development</t>
        </is>
      </c>
      <c r="C413" t="inlineStr">
        <is>
          <t>Laboratory Technician</t>
        </is>
      </c>
      <c r="D413" t="inlineStr">
        <is>
          <t>No</t>
        </is>
      </c>
      <c r="E413" s="8" t="n">
        <v>2376</v>
      </c>
      <c r="F413" s="8">
        <f>E413*Assumptions!$B$7</f>
        <v/>
      </c>
      <c r="G413" s="9" t="n">
        <v>0.07199999999999999</v>
      </c>
      <c r="H413" t="inlineStr">
        <is>
          <t>Low</t>
        </is>
      </c>
      <c r="I413">
        <f>IF(G413&gt;=Assumptions!$B$4,"Yes","No")</f>
        <v/>
      </c>
      <c r="J413" s="8">
        <f>F413*Assumptions!$B$6</f>
        <v/>
      </c>
      <c r="K413" s="10">
        <f>G413*J413</f>
        <v/>
      </c>
      <c r="L413" s="10">
        <f>IF(I413="Yes",G413*Assumptions!$B$5*J413,0)</f>
        <v/>
      </c>
    </row>
    <row r="414">
      <c r="A414" t="n">
        <v>56</v>
      </c>
      <c r="B414" t="inlineStr">
        <is>
          <t>Sales</t>
        </is>
      </c>
      <c r="C414" t="inlineStr">
        <is>
          <t>Sales Executive</t>
        </is>
      </c>
      <c r="D414" t="inlineStr">
        <is>
          <t>No</t>
        </is>
      </c>
      <c r="E414" s="8" t="n">
        <v>8726</v>
      </c>
      <c r="F414" s="8">
        <f>E414*Assumptions!$B$7</f>
        <v/>
      </c>
      <c r="G414" s="9" t="n">
        <v>0.07199999999999999</v>
      </c>
      <c r="H414" t="inlineStr">
        <is>
          <t>Low</t>
        </is>
      </c>
      <c r="I414">
        <f>IF(G414&gt;=Assumptions!$B$4,"Yes","No")</f>
        <v/>
      </c>
      <c r="J414" s="8">
        <f>F414*Assumptions!$B$6</f>
        <v/>
      </c>
      <c r="K414" s="10">
        <f>G414*J414</f>
        <v/>
      </c>
      <c r="L414" s="10">
        <f>IF(I414="Yes",G414*Assumptions!$B$5*J414,0)</f>
        <v/>
      </c>
    </row>
    <row r="415">
      <c r="A415" t="n">
        <v>611</v>
      </c>
      <c r="B415" t="inlineStr">
        <is>
          <t>Research &amp; Development</t>
        </is>
      </c>
      <c r="C415" t="inlineStr">
        <is>
          <t>Manufacturing Director</t>
        </is>
      </c>
      <c r="D415" t="inlineStr">
        <is>
          <t>No</t>
        </is>
      </c>
      <c r="E415" s="8" t="n">
        <v>4262</v>
      </c>
      <c r="F415" s="8">
        <f>E415*Assumptions!$B$7</f>
        <v/>
      </c>
      <c r="G415" s="9" t="n">
        <v>0.07190000000000001</v>
      </c>
      <c r="H415" t="inlineStr">
        <is>
          <t>Low</t>
        </is>
      </c>
      <c r="I415">
        <f>IF(G415&gt;=Assumptions!$B$4,"Yes","No")</f>
        <v/>
      </c>
      <c r="J415" s="8">
        <f>F415*Assumptions!$B$6</f>
        <v/>
      </c>
      <c r="K415" s="10">
        <f>G415*J415</f>
        <v/>
      </c>
      <c r="L415" s="10">
        <f>IF(I415="Yes",G415*Assumptions!$B$5*J415,0)</f>
        <v/>
      </c>
    </row>
    <row r="416">
      <c r="A416" t="n">
        <v>80</v>
      </c>
      <c r="B416" t="inlineStr">
        <is>
          <t>Research &amp; Development</t>
        </is>
      </c>
      <c r="C416" t="inlineStr">
        <is>
          <t>Research Director</t>
        </is>
      </c>
      <c r="D416" t="inlineStr">
        <is>
          <t>Yes</t>
        </is>
      </c>
      <c r="E416" s="8" t="n">
        <v>18740</v>
      </c>
      <c r="F416" s="8">
        <f>E416*Assumptions!$B$7</f>
        <v/>
      </c>
      <c r="G416" s="9" t="n">
        <v>0.0717</v>
      </c>
      <c r="H416" t="inlineStr">
        <is>
          <t>Low</t>
        </is>
      </c>
      <c r="I416">
        <f>IF(G416&gt;=Assumptions!$B$4,"Yes","No")</f>
        <v/>
      </c>
      <c r="J416" s="8">
        <f>F416*Assumptions!$B$6</f>
        <v/>
      </c>
      <c r="K416" s="10">
        <f>G416*J416</f>
        <v/>
      </c>
      <c r="L416" s="10">
        <f>IF(I416="Yes",G416*Assumptions!$B$5*J416,0)</f>
        <v/>
      </c>
    </row>
    <row r="417">
      <c r="A417" t="n">
        <v>389</v>
      </c>
      <c r="B417" t="inlineStr">
        <is>
          <t>Research &amp; Development</t>
        </is>
      </c>
      <c r="C417" t="inlineStr">
        <is>
          <t>Laboratory Technician</t>
        </is>
      </c>
      <c r="D417" t="inlineStr">
        <is>
          <t>Yes</t>
        </is>
      </c>
      <c r="E417" s="8" t="n">
        <v>5415</v>
      </c>
      <c r="F417" s="8">
        <f>E417*Assumptions!$B$7</f>
        <v/>
      </c>
      <c r="G417" s="9" t="n">
        <v>0.0716</v>
      </c>
      <c r="H417" t="inlineStr">
        <is>
          <t>Low</t>
        </is>
      </c>
      <c r="I417">
        <f>IF(G417&gt;=Assumptions!$B$4,"Yes","No")</f>
        <v/>
      </c>
      <c r="J417" s="8">
        <f>F417*Assumptions!$B$6</f>
        <v/>
      </c>
      <c r="K417" s="10">
        <f>G417*J417</f>
        <v/>
      </c>
      <c r="L417" s="10">
        <f>IF(I417="Yes",G417*Assumptions!$B$5*J417,0)</f>
        <v/>
      </c>
    </row>
    <row r="418">
      <c r="A418" t="n">
        <v>1461</v>
      </c>
      <c r="B418" t="inlineStr">
        <is>
          <t>Human Resources</t>
        </is>
      </c>
      <c r="C418" t="inlineStr">
        <is>
          <t>Human Resources</t>
        </is>
      </c>
      <c r="D418" t="inlineStr">
        <is>
          <t>No</t>
        </is>
      </c>
      <c r="E418" s="8" t="n">
        <v>2109</v>
      </c>
      <c r="F418" s="8">
        <f>E418*Assumptions!$B$7</f>
        <v/>
      </c>
      <c r="G418" s="9" t="n">
        <v>0.07149999999999999</v>
      </c>
      <c r="H418" t="inlineStr">
        <is>
          <t>Low</t>
        </is>
      </c>
      <c r="I418">
        <f>IF(G418&gt;=Assumptions!$B$4,"Yes","No")</f>
        <v/>
      </c>
      <c r="J418" s="8">
        <f>F418*Assumptions!$B$6</f>
        <v/>
      </c>
      <c r="K418" s="10">
        <f>G418*J418</f>
        <v/>
      </c>
      <c r="L418" s="10">
        <f>IF(I418="Yes",G418*Assumptions!$B$5*J418,0)</f>
        <v/>
      </c>
    </row>
    <row r="419">
      <c r="A419" t="n">
        <v>1171</v>
      </c>
      <c r="B419" t="inlineStr">
        <is>
          <t>Sales</t>
        </is>
      </c>
      <c r="C419" t="inlineStr">
        <is>
          <t>Sales Executive</t>
        </is>
      </c>
      <c r="D419" t="inlineStr">
        <is>
          <t>No</t>
        </is>
      </c>
      <c r="E419" s="8" t="n">
        <v>5155</v>
      </c>
      <c r="F419" s="8">
        <f>E419*Assumptions!$B$7</f>
        <v/>
      </c>
      <c r="G419" s="9" t="n">
        <v>0.07140000000000001</v>
      </c>
      <c r="H419" t="inlineStr">
        <is>
          <t>Low</t>
        </is>
      </c>
      <c r="I419">
        <f>IF(G419&gt;=Assumptions!$B$4,"Yes","No")</f>
        <v/>
      </c>
      <c r="J419" s="8">
        <f>F419*Assumptions!$B$6</f>
        <v/>
      </c>
      <c r="K419" s="10">
        <f>G419*J419</f>
        <v/>
      </c>
      <c r="L419" s="10">
        <f>IF(I419="Yes",G419*Assumptions!$B$5*J419,0)</f>
        <v/>
      </c>
    </row>
    <row r="420">
      <c r="A420" t="n">
        <v>206</v>
      </c>
      <c r="B420" t="inlineStr">
        <is>
          <t>Research &amp; Development</t>
        </is>
      </c>
      <c r="C420" t="inlineStr">
        <is>
          <t>Laboratory Technician</t>
        </is>
      </c>
      <c r="D420" t="inlineStr">
        <is>
          <t>No</t>
        </is>
      </c>
      <c r="E420" s="8" t="n">
        <v>2348</v>
      </c>
      <c r="F420" s="8">
        <f>E420*Assumptions!$B$7</f>
        <v/>
      </c>
      <c r="G420" s="9" t="n">
        <v>0.0711</v>
      </c>
      <c r="H420" t="inlineStr">
        <is>
          <t>Low</t>
        </is>
      </c>
      <c r="I420">
        <f>IF(G420&gt;=Assumptions!$B$4,"Yes","No")</f>
        <v/>
      </c>
      <c r="J420" s="8">
        <f>F420*Assumptions!$B$6</f>
        <v/>
      </c>
      <c r="K420" s="10">
        <f>G420*J420</f>
        <v/>
      </c>
      <c r="L420" s="10">
        <f>IF(I420="Yes",G420*Assumptions!$B$5*J420,0)</f>
        <v/>
      </c>
    </row>
    <row r="421">
      <c r="A421" t="n">
        <v>425</v>
      </c>
      <c r="B421" t="inlineStr">
        <is>
          <t>Research &amp; Development</t>
        </is>
      </c>
      <c r="C421" t="inlineStr">
        <is>
          <t>Laboratory Technician</t>
        </is>
      </c>
      <c r="D421" t="inlineStr">
        <is>
          <t>No</t>
        </is>
      </c>
      <c r="E421" s="8" t="n">
        <v>5210</v>
      </c>
      <c r="F421" s="8">
        <f>E421*Assumptions!$B$7</f>
        <v/>
      </c>
      <c r="G421" s="9" t="n">
        <v>0.0708</v>
      </c>
      <c r="H421" t="inlineStr">
        <is>
          <t>Low</t>
        </is>
      </c>
      <c r="I421">
        <f>IF(G421&gt;=Assumptions!$B$4,"Yes","No")</f>
        <v/>
      </c>
      <c r="J421" s="8">
        <f>F421*Assumptions!$B$6</f>
        <v/>
      </c>
      <c r="K421" s="10">
        <f>G421*J421</f>
        <v/>
      </c>
      <c r="L421" s="10">
        <f>IF(I421="Yes",G421*Assumptions!$B$5*J421,0)</f>
        <v/>
      </c>
    </row>
    <row r="422">
      <c r="A422" t="n">
        <v>573</v>
      </c>
      <c r="B422" t="inlineStr">
        <is>
          <t>Sales</t>
        </is>
      </c>
      <c r="C422" t="inlineStr">
        <is>
          <t>Sales Executive</t>
        </is>
      </c>
      <c r="D422" t="inlineStr">
        <is>
          <t>No</t>
        </is>
      </c>
      <c r="E422" s="8" t="n">
        <v>10266</v>
      </c>
      <c r="F422" s="8">
        <f>E422*Assumptions!$B$7</f>
        <v/>
      </c>
      <c r="G422" s="9" t="n">
        <v>0.0707</v>
      </c>
      <c r="H422" t="inlineStr">
        <is>
          <t>Low</t>
        </is>
      </c>
      <c r="I422">
        <f>IF(G422&gt;=Assumptions!$B$4,"Yes","No")</f>
        <v/>
      </c>
      <c r="J422" s="8">
        <f>F422*Assumptions!$B$6</f>
        <v/>
      </c>
      <c r="K422" s="10">
        <f>G422*J422</f>
        <v/>
      </c>
      <c r="L422" s="10">
        <f>IF(I422="Yes",G422*Assumptions!$B$5*J422,0)</f>
        <v/>
      </c>
    </row>
    <row r="423">
      <c r="A423" t="n">
        <v>621</v>
      </c>
      <c r="B423" t="inlineStr">
        <is>
          <t>Sales</t>
        </is>
      </c>
      <c r="C423" t="inlineStr">
        <is>
          <t>Sales Executive</t>
        </is>
      </c>
      <c r="D423" t="inlineStr">
        <is>
          <t>No</t>
        </is>
      </c>
      <c r="E423" s="8" t="n">
        <v>5337</v>
      </c>
      <c r="F423" s="8">
        <f>E423*Assumptions!$B$7</f>
        <v/>
      </c>
      <c r="G423" s="9" t="n">
        <v>0.0701</v>
      </c>
      <c r="H423" t="inlineStr">
        <is>
          <t>Low</t>
        </is>
      </c>
      <c r="I423">
        <f>IF(G423&gt;=Assumptions!$B$4,"Yes","No")</f>
        <v/>
      </c>
      <c r="J423" s="8">
        <f>F423*Assumptions!$B$6</f>
        <v/>
      </c>
      <c r="K423" s="10">
        <f>G423*J423</f>
        <v/>
      </c>
      <c r="L423" s="10">
        <f>IF(I423="Yes",G423*Assumptions!$B$5*J423,0)</f>
        <v/>
      </c>
    </row>
    <row r="424">
      <c r="A424" t="n">
        <v>374</v>
      </c>
      <c r="B424" t="inlineStr">
        <is>
          <t>Research &amp; Development</t>
        </is>
      </c>
      <c r="C424" t="inlineStr">
        <is>
          <t>Manager</t>
        </is>
      </c>
      <c r="D424" t="inlineStr">
        <is>
          <t>Yes</t>
        </is>
      </c>
      <c r="E424" s="8" t="n">
        <v>19045</v>
      </c>
      <c r="F424" s="8">
        <f>E424*Assumptions!$B$7</f>
        <v/>
      </c>
      <c r="G424" s="9" t="n">
        <v>0.0698</v>
      </c>
      <c r="H424" t="inlineStr">
        <is>
          <t>Low</t>
        </is>
      </c>
      <c r="I424">
        <f>IF(G424&gt;=Assumptions!$B$4,"Yes","No")</f>
        <v/>
      </c>
      <c r="J424" s="8">
        <f>F424*Assumptions!$B$6</f>
        <v/>
      </c>
      <c r="K424" s="10">
        <f>G424*J424</f>
        <v/>
      </c>
      <c r="L424" s="10">
        <f>IF(I424="Yes",G424*Assumptions!$B$5*J424,0)</f>
        <v/>
      </c>
    </row>
    <row r="425">
      <c r="A425" t="n">
        <v>112</v>
      </c>
      <c r="B425" t="inlineStr">
        <is>
          <t>Research &amp; Development</t>
        </is>
      </c>
      <c r="C425" t="inlineStr">
        <is>
          <t>Manufacturing Director</t>
        </is>
      </c>
      <c r="D425" t="inlineStr">
        <is>
          <t>No</t>
        </is>
      </c>
      <c r="E425" s="8" t="n">
        <v>7260</v>
      </c>
      <c r="F425" s="8">
        <f>E425*Assumptions!$B$7</f>
        <v/>
      </c>
      <c r="G425" s="9" t="n">
        <v>0.0698</v>
      </c>
      <c r="H425" t="inlineStr">
        <is>
          <t>Low</t>
        </is>
      </c>
      <c r="I425">
        <f>IF(G425&gt;=Assumptions!$B$4,"Yes","No")</f>
        <v/>
      </c>
      <c r="J425" s="8">
        <f>F425*Assumptions!$B$6</f>
        <v/>
      </c>
      <c r="K425" s="10">
        <f>G425*J425</f>
        <v/>
      </c>
      <c r="L425" s="10">
        <f>IF(I425="Yes",G425*Assumptions!$B$5*J425,0)</f>
        <v/>
      </c>
    </row>
    <row r="426">
      <c r="A426" t="n">
        <v>799</v>
      </c>
      <c r="B426" t="inlineStr">
        <is>
          <t>Research &amp; Development</t>
        </is>
      </c>
      <c r="C426" t="inlineStr">
        <is>
          <t>Manufacturing Director</t>
        </is>
      </c>
      <c r="D426" t="inlineStr">
        <is>
          <t>Yes</t>
        </is>
      </c>
      <c r="E426" s="8" t="n">
        <v>5485</v>
      </c>
      <c r="F426" s="8">
        <f>E426*Assumptions!$B$7</f>
        <v/>
      </c>
      <c r="G426" s="9" t="n">
        <v>0.0698</v>
      </c>
      <c r="H426" t="inlineStr">
        <is>
          <t>Low</t>
        </is>
      </c>
      <c r="I426">
        <f>IF(G426&gt;=Assumptions!$B$4,"Yes","No")</f>
        <v/>
      </c>
      <c r="J426" s="8">
        <f>F426*Assumptions!$B$6</f>
        <v/>
      </c>
      <c r="K426" s="10">
        <f>G426*J426</f>
        <v/>
      </c>
      <c r="L426" s="10">
        <f>IF(I426="Yes",G426*Assumptions!$B$5*J426,0)</f>
        <v/>
      </c>
    </row>
    <row r="427">
      <c r="A427" t="n">
        <v>1434</v>
      </c>
      <c r="B427" t="inlineStr">
        <is>
          <t>Research &amp; Development</t>
        </is>
      </c>
      <c r="C427" t="inlineStr">
        <is>
          <t>Laboratory Technician</t>
        </is>
      </c>
      <c r="D427" t="inlineStr">
        <is>
          <t>No</t>
        </is>
      </c>
      <c r="E427" s="8" t="n">
        <v>2099</v>
      </c>
      <c r="F427" s="8">
        <f>E427*Assumptions!$B$7</f>
        <v/>
      </c>
      <c r="G427" s="9" t="n">
        <v>0.0698</v>
      </c>
      <c r="H427" t="inlineStr">
        <is>
          <t>Low</t>
        </is>
      </c>
      <c r="I427">
        <f>IF(G427&gt;=Assumptions!$B$4,"Yes","No")</f>
        <v/>
      </c>
      <c r="J427" s="8">
        <f>F427*Assumptions!$B$6</f>
        <v/>
      </c>
      <c r="K427" s="10">
        <f>G427*J427</f>
        <v/>
      </c>
      <c r="L427" s="10">
        <f>IF(I427="Yes",G427*Assumptions!$B$5*J427,0)</f>
        <v/>
      </c>
    </row>
    <row r="428">
      <c r="A428" t="n">
        <v>1321</v>
      </c>
      <c r="B428" t="inlineStr">
        <is>
          <t>Research &amp; Development</t>
        </is>
      </c>
      <c r="C428" t="inlineStr">
        <is>
          <t>Manager</t>
        </is>
      </c>
      <c r="D428" t="inlineStr">
        <is>
          <t>Yes</t>
        </is>
      </c>
      <c r="E428" s="8" t="n">
        <v>11916</v>
      </c>
      <c r="F428" s="8">
        <f>E428*Assumptions!$B$7</f>
        <v/>
      </c>
      <c r="G428" s="9" t="n">
        <v>0.0696</v>
      </c>
      <c r="H428" t="inlineStr">
        <is>
          <t>Low</t>
        </is>
      </c>
      <c r="I428">
        <f>IF(G428&gt;=Assumptions!$B$4,"Yes","No")</f>
        <v/>
      </c>
      <c r="J428" s="8">
        <f>F428*Assumptions!$B$6</f>
        <v/>
      </c>
      <c r="K428" s="10">
        <f>G428*J428</f>
        <v/>
      </c>
      <c r="L428" s="10">
        <f>IF(I428="Yes",G428*Assumptions!$B$5*J428,0)</f>
        <v/>
      </c>
    </row>
    <row r="429">
      <c r="A429" t="n">
        <v>245</v>
      </c>
      <c r="B429" t="inlineStr">
        <is>
          <t>Research &amp; Development</t>
        </is>
      </c>
      <c r="C429" t="inlineStr">
        <is>
          <t>Laboratory Technician</t>
        </is>
      </c>
      <c r="D429" t="inlineStr">
        <is>
          <t>No</t>
        </is>
      </c>
      <c r="E429" s="8" t="n">
        <v>2288</v>
      </c>
      <c r="F429" s="8">
        <f>E429*Assumptions!$B$7</f>
        <v/>
      </c>
      <c r="G429" s="9" t="n">
        <v>0.0693</v>
      </c>
      <c r="H429" t="inlineStr">
        <is>
          <t>Low</t>
        </is>
      </c>
      <c r="I429">
        <f>IF(G429&gt;=Assumptions!$B$4,"Yes","No")</f>
        <v/>
      </c>
      <c r="J429" s="8">
        <f>F429*Assumptions!$B$6</f>
        <v/>
      </c>
      <c r="K429" s="10">
        <f>G429*J429</f>
        <v/>
      </c>
      <c r="L429" s="10">
        <f>IF(I429="Yes",G429*Assumptions!$B$5*J429,0)</f>
        <v/>
      </c>
    </row>
    <row r="430">
      <c r="A430" t="n">
        <v>1784</v>
      </c>
      <c r="B430" t="inlineStr">
        <is>
          <t>Sales</t>
        </is>
      </c>
      <c r="C430" t="inlineStr">
        <is>
          <t>Sales Executive</t>
        </is>
      </c>
      <c r="D430" t="inlineStr">
        <is>
          <t>No</t>
        </is>
      </c>
      <c r="E430" s="8" t="n">
        <v>5468</v>
      </c>
      <c r="F430" s="8">
        <f>E430*Assumptions!$B$7</f>
        <v/>
      </c>
      <c r="G430" s="9" t="n">
        <v>0.06900000000000001</v>
      </c>
      <c r="H430" t="inlineStr">
        <is>
          <t>Low</t>
        </is>
      </c>
      <c r="I430">
        <f>IF(G430&gt;=Assumptions!$B$4,"Yes","No")</f>
        <v/>
      </c>
      <c r="J430" s="8">
        <f>F430*Assumptions!$B$6</f>
        <v/>
      </c>
      <c r="K430" s="10">
        <f>G430*J430</f>
        <v/>
      </c>
      <c r="L430" s="10">
        <f>IF(I430="Yes",G430*Assumptions!$B$5*J430,0)</f>
        <v/>
      </c>
    </row>
    <row r="431">
      <c r="A431" t="n">
        <v>511</v>
      </c>
      <c r="B431" t="inlineStr">
        <is>
          <t>Research &amp; Development</t>
        </is>
      </c>
      <c r="C431" t="inlineStr">
        <is>
          <t>Research Scientist</t>
        </is>
      </c>
      <c r="D431" t="inlineStr">
        <is>
          <t>No</t>
        </is>
      </c>
      <c r="E431" s="8" t="n">
        <v>2244</v>
      </c>
      <c r="F431" s="8">
        <f>E431*Assumptions!$B$7</f>
        <v/>
      </c>
      <c r="G431" s="9" t="n">
        <v>0.0689</v>
      </c>
      <c r="H431" t="inlineStr">
        <is>
          <t>Low</t>
        </is>
      </c>
      <c r="I431">
        <f>IF(G431&gt;=Assumptions!$B$4,"Yes","No")</f>
        <v/>
      </c>
      <c r="J431" s="8">
        <f>F431*Assumptions!$B$6</f>
        <v/>
      </c>
      <c r="K431" s="10">
        <f>G431*J431</f>
        <v/>
      </c>
      <c r="L431" s="10">
        <f>IF(I431="Yes",G431*Assumptions!$B$5*J431,0)</f>
        <v/>
      </c>
    </row>
    <row r="432">
      <c r="A432" t="n">
        <v>51</v>
      </c>
      <c r="B432" t="inlineStr">
        <is>
          <t>Research &amp; Development</t>
        </is>
      </c>
      <c r="C432" t="inlineStr">
        <is>
          <t>Research Scientist</t>
        </is>
      </c>
      <c r="D432" t="inlineStr">
        <is>
          <t>Yes</t>
        </is>
      </c>
      <c r="E432" s="8" t="n">
        <v>3419</v>
      </c>
      <c r="F432" s="8">
        <f>E432*Assumptions!$B$7</f>
        <v/>
      </c>
      <c r="G432" s="9" t="n">
        <v>0.0687</v>
      </c>
      <c r="H432" t="inlineStr">
        <is>
          <t>Low</t>
        </is>
      </c>
      <c r="I432">
        <f>IF(G432&gt;=Assumptions!$B$4,"Yes","No")</f>
        <v/>
      </c>
      <c r="J432" s="8">
        <f>F432*Assumptions!$B$6</f>
        <v/>
      </c>
      <c r="K432" s="10">
        <f>G432*J432</f>
        <v/>
      </c>
      <c r="L432" s="10">
        <f>IF(I432="Yes",G432*Assumptions!$B$5*J432,0)</f>
        <v/>
      </c>
    </row>
    <row r="433">
      <c r="A433" t="n">
        <v>1283</v>
      </c>
      <c r="B433" t="inlineStr">
        <is>
          <t>Research &amp; Development</t>
        </is>
      </c>
      <c r="C433" t="inlineStr">
        <is>
          <t>Manufacturing Director</t>
        </is>
      </c>
      <c r="D433" t="inlineStr">
        <is>
          <t>No</t>
        </is>
      </c>
      <c r="E433" s="8" t="n">
        <v>10512</v>
      </c>
      <c r="F433" s="8">
        <f>E433*Assumptions!$B$7</f>
        <v/>
      </c>
      <c r="G433" s="9" t="n">
        <v>0.06859999999999999</v>
      </c>
      <c r="H433" t="inlineStr">
        <is>
          <t>Low</t>
        </is>
      </c>
      <c r="I433">
        <f>IF(G433&gt;=Assumptions!$B$4,"Yes","No")</f>
        <v/>
      </c>
      <c r="J433" s="8">
        <f>F433*Assumptions!$B$6</f>
        <v/>
      </c>
      <c r="K433" s="10">
        <f>G433*J433</f>
        <v/>
      </c>
      <c r="L433" s="10">
        <f>IF(I433="Yes",G433*Assumptions!$B$5*J433,0)</f>
        <v/>
      </c>
    </row>
    <row r="434">
      <c r="A434" t="n">
        <v>1594</v>
      </c>
      <c r="B434" t="inlineStr">
        <is>
          <t>Research &amp; Development</t>
        </is>
      </c>
      <c r="C434" t="inlineStr">
        <is>
          <t>Laboratory Technician</t>
        </is>
      </c>
      <c r="D434" t="inlineStr">
        <is>
          <t>Yes</t>
        </is>
      </c>
      <c r="E434" s="8" t="n">
        <v>5562</v>
      </c>
      <c r="F434" s="8">
        <f>E434*Assumptions!$B$7</f>
        <v/>
      </c>
      <c r="G434" s="9" t="n">
        <v>0.06859999999999999</v>
      </c>
      <c r="H434" t="inlineStr">
        <is>
          <t>Low</t>
        </is>
      </c>
      <c r="I434">
        <f>IF(G434&gt;=Assumptions!$B$4,"Yes","No")</f>
        <v/>
      </c>
      <c r="J434" s="8">
        <f>F434*Assumptions!$B$6</f>
        <v/>
      </c>
      <c r="K434" s="10">
        <f>G434*J434</f>
        <v/>
      </c>
      <c r="L434" s="10">
        <f>IF(I434="Yes",G434*Assumptions!$B$5*J434,0)</f>
        <v/>
      </c>
    </row>
    <row r="435">
      <c r="A435" t="n">
        <v>73</v>
      </c>
      <c r="B435" t="inlineStr">
        <is>
          <t>Research &amp; Development</t>
        </is>
      </c>
      <c r="C435" t="inlineStr">
        <is>
          <t>Research Director</t>
        </is>
      </c>
      <c r="D435" t="inlineStr">
        <is>
          <t>Yes</t>
        </is>
      </c>
      <c r="E435" s="8" t="n">
        <v>13458</v>
      </c>
      <c r="F435" s="8">
        <f>E435*Assumptions!$B$7</f>
        <v/>
      </c>
      <c r="G435" s="9" t="n">
        <v>0.06809999999999999</v>
      </c>
      <c r="H435" t="inlineStr">
        <is>
          <t>Low</t>
        </is>
      </c>
      <c r="I435">
        <f>IF(G435&gt;=Assumptions!$B$4,"Yes","No")</f>
        <v/>
      </c>
      <c r="J435" s="8">
        <f>F435*Assumptions!$B$6</f>
        <v/>
      </c>
      <c r="K435" s="10">
        <f>G435*J435</f>
        <v/>
      </c>
      <c r="L435" s="10">
        <f>IF(I435="Yes",G435*Assumptions!$B$5*J435,0)</f>
        <v/>
      </c>
    </row>
    <row r="436">
      <c r="A436" t="n">
        <v>162</v>
      </c>
      <c r="B436" t="inlineStr">
        <is>
          <t>Research &amp; Development</t>
        </is>
      </c>
      <c r="C436" t="inlineStr">
        <is>
          <t>Research Director</t>
        </is>
      </c>
      <c r="D436" t="inlineStr">
        <is>
          <t>No</t>
        </is>
      </c>
      <c r="E436" s="8" t="n">
        <v>19537</v>
      </c>
      <c r="F436" s="8">
        <f>E436*Assumptions!$B$7</f>
        <v/>
      </c>
      <c r="G436" s="9" t="n">
        <v>0.06809999999999999</v>
      </c>
      <c r="H436" t="inlineStr">
        <is>
          <t>Low</t>
        </is>
      </c>
      <c r="I436">
        <f>IF(G436&gt;=Assumptions!$B$4,"Yes","No")</f>
        <v/>
      </c>
      <c r="J436" s="8">
        <f>F436*Assumptions!$B$6</f>
        <v/>
      </c>
      <c r="K436" s="10">
        <f>G436*J436</f>
        <v/>
      </c>
      <c r="L436" s="10">
        <f>IF(I436="Yes",G436*Assumptions!$B$5*J436,0)</f>
        <v/>
      </c>
    </row>
    <row r="437">
      <c r="A437" t="n">
        <v>218</v>
      </c>
      <c r="B437" t="inlineStr">
        <is>
          <t>Research &amp; Development</t>
        </is>
      </c>
      <c r="C437" t="inlineStr">
        <is>
          <t>Research Scientist</t>
        </is>
      </c>
      <c r="D437" t="inlineStr">
        <is>
          <t>No</t>
        </is>
      </c>
      <c r="E437" s="8" t="n">
        <v>2024</v>
      </c>
      <c r="F437" s="8">
        <f>E437*Assumptions!$B$7</f>
        <v/>
      </c>
      <c r="G437" s="9" t="n">
        <v>0.0675</v>
      </c>
      <c r="H437" t="inlineStr">
        <is>
          <t>Low</t>
        </is>
      </c>
      <c r="I437">
        <f>IF(G437&gt;=Assumptions!$B$4,"Yes","No")</f>
        <v/>
      </c>
      <c r="J437" s="8">
        <f>F437*Assumptions!$B$6</f>
        <v/>
      </c>
      <c r="K437" s="10">
        <f>G437*J437</f>
        <v/>
      </c>
      <c r="L437" s="10">
        <f>IF(I437="Yes",G437*Assumptions!$B$5*J437,0)</f>
        <v/>
      </c>
    </row>
    <row r="438">
      <c r="A438" t="n">
        <v>275</v>
      </c>
      <c r="B438" t="inlineStr">
        <is>
          <t>Research &amp; Development</t>
        </is>
      </c>
      <c r="C438" t="inlineStr">
        <is>
          <t>Manufacturing Director</t>
        </is>
      </c>
      <c r="D438" t="inlineStr">
        <is>
          <t>Yes</t>
        </is>
      </c>
      <c r="E438" s="8" t="n">
        <v>6804</v>
      </c>
      <c r="F438" s="8">
        <f>E438*Assumptions!$B$7</f>
        <v/>
      </c>
      <c r="G438" s="9" t="n">
        <v>0.0674</v>
      </c>
      <c r="H438" t="inlineStr">
        <is>
          <t>Low</t>
        </is>
      </c>
      <c r="I438">
        <f>IF(G438&gt;=Assumptions!$B$4,"Yes","No")</f>
        <v/>
      </c>
      <c r="J438" s="8">
        <f>F438*Assumptions!$B$6</f>
        <v/>
      </c>
      <c r="K438" s="10">
        <f>G438*J438</f>
        <v/>
      </c>
      <c r="L438" s="10">
        <f>IF(I438="Yes",G438*Assumptions!$B$5*J438,0)</f>
        <v/>
      </c>
    </row>
    <row r="439">
      <c r="A439" t="n">
        <v>1602</v>
      </c>
      <c r="B439" t="inlineStr">
        <is>
          <t>Sales</t>
        </is>
      </c>
      <c r="C439" t="inlineStr">
        <is>
          <t>Manager</t>
        </is>
      </c>
      <c r="D439" t="inlineStr">
        <is>
          <t>No</t>
        </is>
      </c>
      <c r="E439" s="8" t="n">
        <v>17567</v>
      </c>
      <c r="F439" s="8">
        <f>E439*Assumptions!$B$7</f>
        <v/>
      </c>
      <c r="G439" s="9" t="n">
        <v>0.0674</v>
      </c>
      <c r="H439" t="inlineStr">
        <is>
          <t>Low</t>
        </is>
      </c>
      <c r="I439">
        <f>IF(G439&gt;=Assumptions!$B$4,"Yes","No")</f>
        <v/>
      </c>
      <c r="J439" s="8">
        <f>F439*Assumptions!$B$6</f>
        <v/>
      </c>
      <c r="K439" s="10">
        <f>G439*J439</f>
        <v/>
      </c>
      <c r="L439" s="10">
        <f>IF(I439="Yes",G439*Assumptions!$B$5*J439,0)</f>
        <v/>
      </c>
    </row>
    <row r="440">
      <c r="A440" t="n">
        <v>1633</v>
      </c>
      <c r="B440" t="inlineStr">
        <is>
          <t>Research &amp; Development</t>
        </is>
      </c>
      <c r="C440" t="inlineStr">
        <is>
          <t>Manufacturing Director</t>
        </is>
      </c>
      <c r="D440" t="inlineStr">
        <is>
          <t>No</t>
        </is>
      </c>
      <c r="E440" s="8" t="n">
        <v>5042</v>
      </c>
      <c r="F440" s="8">
        <f>E440*Assumptions!$B$7</f>
        <v/>
      </c>
      <c r="G440" s="9" t="n">
        <v>0.0672</v>
      </c>
      <c r="H440" t="inlineStr">
        <is>
          <t>Low</t>
        </is>
      </c>
      <c r="I440">
        <f>IF(G440&gt;=Assumptions!$B$4,"Yes","No")</f>
        <v/>
      </c>
      <c r="J440" s="8">
        <f>F440*Assumptions!$B$6</f>
        <v/>
      </c>
      <c r="K440" s="10">
        <f>G440*J440</f>
        <v/>
      </c>
      <c r="L440" s="10">
        <f>IF(I440="Yes",G440*Assumptions!$B$5*J440,0)</f>
        <v/>
      </c>
    </row>
    <row r="441">
      <c r="A441" t="n">
        <v>1721</v>
      </c>
      <c r="B441" t="inlineStr">
        <is>
          <t>Research &amp; Development</t>
        </is>
      </c>
      <c r="C441" t="inlineStr">
        <is>
          <t>Laboratory Technician</t>
        </is>
      </c>
      <c r="D441" t="inlineStr">
        <is>
          <t>No</t>
        </is>
      </c>
      <c r="E441" s="8" t="n">
        <v>3477</v>
      </c>
      <c r="F441" s="8">
        <f>E441*Assumptions!$B$7</f>
        <v/>
      </c>
      <c r="G441" s="9" t="n">
        <v>0.0672</v>
      </c>
      <c r="H441" t="inlineStr">
        <is>
          <t>Low</t>
        </is>
      </c>
      <c r="I441">
        <f>IF(G441&gt;=Assumptions!$B$4,"Yes","No")</f>
        <v/>
      </c>
      <c r="J441" s="8">
        <f>F441*Assumptions!$B$6</f>
        <v/>
      </c>
      <c r="K441" s="10">
        <f>G441*J441</f>
        <v/>
      </c>
      <c r="L441" s="10">
        <f>IF(I441="Yes",G441*Assumptions!$B$5*J441,0)</f>
        <v/>
      </c>
    </row>
    <row r="442">
      <c r="A442" t="n">
        <v>1576</v>
      </c>
      <c r="B442" t="inlineStr">
        <is>
          <t>Research &amp; Development</t>
        </is>
      </c>
      <c r="C442" t="inlineStr">
        <is>
          <t>Research Scientist</t>
        </is>
      </c>
      <c r="D442" t="inlineStr">
        <is>
          <t>No</t>
        </is>
      </c>
      <c r="E442" s="8" t="n">
        <v>2367</v>
      </c>
      <c r="F442" s="8">
        <f>E442*Assumptions!$B$7</f>
        <v/>
      </c>
      <c r="G442" s="9" t="n">
        <v>0.0669</v>
      </c>
      <c r="H442" t="inlineStr">
        <is>
          <t>Low</t>
        </is>
      </c>
      <c r="I442">
        <f>IF(G442&gt;=Assumptions!$B$4,"Yes","No")</f>
        <v/>
      </c>
      <c r="J442" s="8">
        <f>F442*Assumptions!$B$6</f>
        <v/>
      </c>
      <c r="K442" s="10">
        <f>G442*J442</f>
        <v/>
      </c>
      <c r="L442" s="10">
        <f>IF(I442="Yes",G442*Assumptions!$B$5*J442,0)</f>
        <v/>
      </c>
    </row>
    <row r="443">
      <c r="A443" t="n">
        <v>532</v>
      </c>
      <c r="B443" t="inlineStr">
        <is>
          <t>Sales</t>
        </is>
      </c>
      <c r="C443" t="inlineStr">
        <is>
          <t>Sales Executive</t>
        </is>
      </c>
      <c r="D443" t="inlineStr">
        <is>
          <t>No</t>
        </is>
      </c>
      <c r="E443" s="8" t="n">
        <v>13212</v>
      </c>
      <c r="F443" s="8">
        <f>E443*Assumptions!$B$7</f>
        <v/>
      </c>
      <c r="G443" s="9" t="n">
        <v>0.0665</v>
      </c>
      <c r="H443" t="inlineStr">
        <is>
          <t>Low</t>
        </is>
      </c>
      <c r="I443">
        <f>IF(G443&gt;=Assumptions!$B$4,"Yes","No")</f>
        <v/>
      </c>
      <c r="J443" s="8">
        <f>F443*Assumptions!$B$6</f>
        <v/>
      </c>
      <c r="K443" s="10">
        <f>G443*J443</f>
        <v/>
      </c>
      <c r="L443" s="10">
        <f>IF(I443="Yes",G443*Assumptions!$B$5*J443,0)</f>
        <v/>
      </c>
    </row>
    <row r="444">
      <c r="A444" t="n">
        <v>856</v>
      </c>
      <c r="B444" t="inlineStr">
        <is>
          <t>Research &amp; Development</t>
        </is>
      </c>
      <c r="C444" t="inlineStr">
        <is>
          <t>Research Scientist</t>
        </is>
      </c>
      <c r="D444" t="inlineStr">
        <is>
          <t>No</t>
        </is>
      </c>
      <c r="E444" s="8" t="n">
        <v>2559</v>
      </c>
      <c r="F444" s="8">
        <f>E444*Assumptions!$B$7</f>
        <v/>
      </c>
      <c r="G444" s="9" t="n">
        <v>0.0665</v>
      </c>
      <c r="H444" t="inlineStr">
        <is>
          <t>Low</t>
        </is>
      </c>
      <c r="I444">
        <f>IF(G444&gt;=Assumptions!$B$4,"Yes","No")</f>
        <v/>
      </c>
      <c r="J444" s="8">
        <f>F444*Assumptions!$B$6</f>
        <v/>
      </c>
      <c r="K444" s="10">
        <f>G444*J444</f>
        <v/>
      </c>
      <c r="L444" s="10">
        <f>IF(I444="Yes",G444*Assumptions!$B$5*J444,0)</f>
        <v/>
      </c>
    </row>
    <row r="445">
      <c r="A445" t="n">
        <v>1609</v>
      </c>
      <c r="B445" t="inlineStr">
        <is>
          <t>Research &amp; Development</t>
        </is>
      </c>
      <c r="C445" t="inlineStr">
        <is>
          <t>Research Scientist</t>
        </is>
      </c>
      <c r="D445" t="inlineStr">
        <is>
          <t>No</t>
        </is>
      </c>
      <c r="E445" s="8" t="n">
        <v>2141</v>
      </c>
      <c r="F445" s="8">
        <f>E445*Assumptions!$B$7</f>
        <v/>
      </c>
      <c r="G445" s="9" t="n">
        <v>0.0664</v>
      </c>
      <c r="H445" t="inlineStr">
        <is>
          <t>Low</t>
        </is>
      </c>
      <c r="I445">
        <f>IF(G445&gt;=Assumptions!$B$4,"Yes","No")</f>
        <v/>
      </c>
      <c r="J445" s="8">
        <f>F445*Assumptions!$B$6</f>
        <v/>
      </c>
      <c r="K445" s="10">
        <f>G445*J445</f>
        <v/>
      </c>
      <c r="L445" s="10">
        <f>IF(I445="Yes",G445*Assumptions!$B$5*J445,0)</f>
        <v/>
      </c>
    </row>
    <row r="446">
      <c r="A446" t="n">
        <v>722</v>
      </c>
      <c r="B446" t="inlineStr">
        <is>
          <t>Sales</t>
        </is>
      </c>
      <c r="C446" t="inlineStr">
        <is>
          <t>Sales Executive</t>
        </is>
      </c>
      <c r="D446" t="inlineStr">
        <is>
          <t>No</t>
        </is>
      </c>
      <c r="E446" s="8" t="n">
        <v>5396</v>
      </c>
      <c r="F446" s="8">
        <f>E446*Assumptions!$B$7</f>
        <v/>
      </c>
      <c r="G446" s="9" t="n">
        <v>0.0664</v>
      </c>
      <c r="H446" t="inlineStr">
        <is>
          <t>Low</t>
        </is>
      </c>
      <c r="I446">
        <f>IF(G446&gt;=Assumptions!$B$4,"Yes","No")</f>
        <v/>
      </c>
      <c r="J446" s="8">
        <f>F446*Assumptions!$B$6</f>
        <v/>
      </c>
      <c r="K446" s="10">
        <f>G446*J446</f>
        <v/>
      </c>
      <c r="L446" s="10">
        <f>IF(I446="Yes",G446*Assumptions!$B$5*J446,0)</f>
        <v/>
      </c>
    </row>
    <row r="447">
      <c r="A447" t="n">
        <v>1314</v>
      </c>
      <c r="B447" t="inlineStr">
        <is>
          <t>Human Resources</t>
        </is>
      </c>
      <c r="C447" t="inlineStr">
        <is>
          <t>Human Resources</t>
        </is>
      </c>
      <c r="D447" t="inlineStr">
        <is>
          <t>No</t>
        </is>
      </c>
      <c r="E447" s="8" t="n">
        <v>3423</v>
      </c>
      <c r="F447" s="8">
        <f>E447*Assumptions!$B$7</f>
        <v/>
      </c>
      <c r="G447" s="9" t="n">
        <v>0.06619999999999999</v>
      </c>
      <c r="H447" t="inlineStr">
        <is>
          <t>Low</t>
        </is>
      </c>
      <c r="I447">
        <f>IF(G447&gt;=Assumptions!$B$4,"Yes","No")</f>
        <v/>
      </c>
      <c r="J447" s="8">
        <f>F447*Assumptions!$B$6</f>
        <v/>
      </c>
      <c r="K447" s="10">
        <f>G447*J447</f>
        <v/>
      </c>
      <c r="L447" s="10">
        <f>IF(I447="Yes",G447*Assumptions!$B$5*J447,0)</f>
        <v/>
      </c>
    </row>
    <row r="448">
      <c r="A448" t="n">
        <v>2061</v>
      </c>
      <c r="B448" t="inlineStr">
        <is>
          <t>Research &amp; Development</t>
        </is>
      </c>
      <c r="C448" t="inlineStr">
        <is>
          <t>Laboratory Technician</t>
        </is>
      </c>
      <c r="D448" t="inlineStr">
        <is>
          <t>No</t>
        </is>
      </c>
      <c r="E448" s="8" t="n">
        <v>2571</v>
      </c>
      <c r="F448" s="8">
        <f>E448*Assumptions!$B$7</f>
        <v/>
      </c>
      <c r="G448" s="9" t="n">
        <v>0.06610000000000001</v>
      </c>
      <c r="H448" t="inlineStr">
        <is>
          <t>Low</t>
        </is>
      </c>
      <c r="I448">
        <f>IF(G448&gt;=Assumptions!$B$4,"Yes","No")</f>
        <v/>
      </c>
      <c r="J448" s="8">
        <f>F448*Assumptions!$B$6</f>
        <v/>
      </c>
      <c r="K448" s="10">
        <f>G448*J448</f>
        <v/>
      </c>
      <c r="L448" s="10">
        <f>IF(I448="Yes",G448*Assumptions!$B$5*J448,0)</f>
        <v/>
      </c>
    </row>
    <row r="449">
      <c r="A449" t="n">
        <v>1011</v>
      </c>
      <c r="B449" t="inlineStr">
        <is>
          <t>Research &amp; Development</t>
        </is>
      </c>
      <c r="C449" t="inlineStr">
        <is>
          <t>Manufacturing Director</t>
        </is>
      </c>
      <c r="D449" t="inlineStr">
        <is>
          <t>No</t>
        </is>
      </c>
      <c r="E449" s="8" t="n">
        <v>4148</v>
      </c>
      <c r="F449" s="8">
        <f>E449*Assumptions!$B$7</f>
        <v/>
      </c>
      <c r="G449" s="9" t="n">
        <v>0.066</v>
      </c>
      <c r="H449" t="inlineStr">
        <is>
          <t>Low</t>
        </is>
      </c>
      <c r="I449">
        <f>IF(G449&gt;=Assumptions!$B$4,"Yes","No")</f>
        <v/>
      </c>
      <c r="J449" s="8">
        <f>F449*Assumptions!$B$6</f>
        <v/>
      </c>
      <c r="K449" s="10">
        <f>G449*J449</f>
        <v/>
      </c>
      <c r="L449" s="10">
        <f>IF(I449="Yes",G449*Assumptions!$B$5*J449,0)</f>
        <v/>
      </c>
    </row>
    <row r="450">
      <c r="A450" t="n">
        <v>776</v>
      </c>
      <c r="B450" t="inlineStr">
        <is>
          <t>Sales</t>
        </is>
      </c>
      <c r="C450" t="inlineStr">
        <is>
          <t>Manager</t>
        </is>
      </c>
      <c r="D450" t="inlineStr">
        <is>
          <t>No</t>
        </is>
      </c>
      <c r="E450" s="8" t="n">
        <v>16856</v>
      </c>
      <c r="F450" s="8">
        <f>E450*Assumptions!$B$7</f>
        <v/>
      </c>
      <c r="G450" s="9" t="n">
        <v>0.06560000000000001</v>
      </c>
      <c r="H450" t="inlineStr">
        <is>
          <t>Low</t>
        </is>
      </c>
      <c r="I450">
        <f>IF(G450&gt;=Assumptions!$B$4,"Yes","No")</f>
        <v/>
      </c>
      <c r="J450" s="8">
        <f>F450*Assumptions!$B$6</f>
        <v/>
      </c>
      <c r="K450" s="10">
        <f>G450*J450</f>
        <v/>
      </c>
      <c r="L450" s="10">
        <f>IF(I450="Yes",G450*Assumptions!$B$5*J450,0)</f>
        <v/>
      </c>
    </row>
    <row r="451">
      <c r="A451" t="n">
        <v>613</v>
      </c>
      <c r="B451" t="inlineStr">
        <is>
          <t>Sales</t>
        </is>
      </c>
      <c r="C451" t="inlineStr">
        <is>
          <t>Manager</t>
        </is>
      </c>
      <c r="D451" t="inlineStr">
        <is>
          <t>No</t>
        </is>
      </c>
      <c r="E451" s="8" t="n">
        <v>11557</v>
      </c>
      <c r="F451" s="8">
        <f>E451*Assumptions!$B$7</f>
        <v/>
      </c>
      <c r="G451" s="9" t="n">
        <v>0.06560000000000001</v>
      </c>
      <c r="H451" t="inlineStr">
        <is>
          <t>Low</t>
        </is>
      </c>
      <c r="I451">
        <f>IF(G451&gt;=Assumptions!$B$4,"Yes","No")</f>
        <v/>
      </c>
      <c r="J451" s="8">
        <f>F451*Assumptions!$B$6</f>
        <v/>
      </c>
      <c r="K451" s="10">
        <f>G451*J451</f>
        <v/>
      </c>
      <c r="L451" s="10">
        <f>IF(I451="Yes",G451*Assumptions!$B$5*J451,0)</f>
        <v/>
      </c>
    </row>
    <row r="452">
      <c r="A452" t="n">
        <v>1754</v>
      </c>
      <c r="B452" t="inlineStr">
        <is>
          <t>Sales</t>
        </is>
      </c>
      <c r="C452" t="inlineStr">
        <is>
          <t>Sales Executive</t>
        </is>
      </c>
      <c r="D452" t="inlineStr">
        <is>
          <t>No</t>
        </is>
      </c>
      <c r="E452" s="8" t="n">
        <v>7140</v>
      </c>
      <c r="F452" s="8">
        <f>E452*Assumptions!$B$7</f>
        <v/>
      </c>
      <c r="G452" s="9" t="n">
        <v>0.06560000000000001</v>
      </c>
      <c r="H452" t="inlineStr">
        <is>
          <t>Low</t>
        </is>
      </c>
      <c r="I452">
        <f>IF(G452&gt;=Assumptions!$B$4,"Yes","No")</f>
        <v/>
      </c>
      <c r="J452" s="8">
        <f>F452*Assumptions!$B$6</f>
        <v/>
      </c>
      <c r="K452" s="10">
        <f>G452*J452</f>
        <v/>
      </c>
      <c r="L452" s="10">
        <f>IF(I452="Yes",G452*Assumptions!$B$5*J452,0)</f>
        <v/>
      </c>
    </row>
    <row r="453">
      <c r="A453" t="n">
        <v>215</v>
      </c>
      <c r="B453" t="inlineStr">
        <is>
          <t>Sales</t>
        </is>
      </c>
      <c r="C453" t="inlineStr">
        <is>
          <t>Sales Executive</t>
        </is>
      </c>
      <c r="D453" t="inlineStr">
        <is>
          <t>No</t>
        </is>
      </c>
      <c r="E453" s="8" t="n">
        <v>10855</v>
      </c>
      <c r="F453" s="8">
        <f>E453*Assumptions!$B$7</f>
        <v/>
      </c>
      <c r="G453" s="9" t="n">
        <v>0.06560000000000001</v>
      </c>
      <c r="H453" t="inlineStr">
        <is>
          <t>Low</t>
        </is>
      </c>
      <c r="I453">
        <f>IF(G453&gt;=Assumptions!$B$4,"Yes","No")</f>
        <v/>
      </c>
      <c r="J453" s="8">
        <f>F453*Assumptions!$B$6</f>
        <v/>
      </c>
      <c r="K453" s="10">
        <f>G453*J453</f>
        <v/>
      </c>
      <c r="L453" s="10">
        <f>IF(I453="Yes",G453*Assumptions!$B$5*J453,0)</f>
        <v/>
      </c>
    </row>
    <row r="454">
      <c r="A454" t="n">
        <v>1356</v>
      </c>
      <c r="B454" t="inlineStr">
        <is>
          <t>Sales</t>
        </is>
      </c>
      <c r="C454" t="inlineStr">
        <is>
          <t>Sales Executive</t>
        </is>
      </c>
      <c r="D454" t="inlineStr">
        <is>
          <t>No</t>
        </is>
      </c>
      <c r="E454" s="8" t="n">
        <v>6125</v>
      </c>
      <c r="F454" s="8">
        <f>E454*Assumptions!$B$7</f>
        <v/>
      </c>
      <c r="G454" s="9" t="n">
        <v>0.06560000000000001</v>
      </c>
      <c r="H454" t="inlineStr">
        <is>
          <t>Low</t>
        </is>
      </c>
      <c r="I454">
        <f>IF(G454&gt;=Assumptions!$B$4,"Yes","No")</f>
        <v/>
      </c>
      <c r="J454" s="8">
        <f>F454*Assumptions!$B$6</f>
        <v/>
      </c>
      <c r="K454" s="10">
        <f>G454*J454</f>
        <v/>
      </c>
      <c r="L454" s="10">
        <f>IF(I454="Yes",G454*Assumptions!$B$5*J454,0)</f>
        <v/>
      </c>
    </row>
    <row r="455">
      <c r="A455" t="n">
        <v>473</v>
      </c>
      <c r="B455" t="inlineStr">
        <is>
          <t>Sales</t>
        </is>
      </c>
      <c r="C455" t="inlineStr">
        <is>
          <t>Manager</t>
        </is>
      </c>
      <c r="D455" t="inlineStr">
        <is>
          <t>No</t>
        </is>
      </c>
      <c r="E455" s="8" t="n">
        <v>12504</v>
      </c>
      <c r="F455" s="8">
        <f>E455*Assumptions!$B$7</f>
        <v/>
      </c>
      <c r="G455" s="9" t="n">
        <v>0.0653</v>
      </c>
      <c r="H455" t="inlineStr">
        <is>
          <t>Low</t>
        </is>
      </c>
      <c r="I455">
        <f>IF(G455&gt;=Assumptions!$B$4,"Yes","No")</f>
        <v/>
      </c>
      <c r="J455" s="8">
        <f>F455*Assumptions!$B$6</f>
        <v/>
      </c>
      <c r="K455" s="10">
        <f>G455*J455</f>
        <v/>
      </c>
      <c r="L455" s="10">
        <f>IF(I455="Yes",G455*Assumptions!$B$5*J455,0)</f>
        <v/>
      </c>
    </row>
    <row r="456">
      <c r="A456" t="n">
        <v>1760</v>
      </c>
      <c r="B456" t="inlineStr">
        <is>
          <t>Research &amp; Development</t>
        </is>
      </c>
      <c r="C456" t="inlineStr">
        <is>
          <t>Laboratory Technician</t>
        </is>
      </c>
      <c r="D456" t="inlineStr">
        <is>
          <t>No</t>
        </is>
      </c>
      <c r="E456" s="8" t="n">
        <v>2468</v>
      </c>
      <c r="F456" s="8">
        <f>E456*Assumptions!$B$7</f>
        <v/>
      </c>
      <c r="G456" s="9" t="n">
        <v>0.065</v>
      </c>
      <c r="H456" t="inlineStr">
        <is>
          <t>Low</t>
        </is>
      </c>
      <c r="I456">
        <f>IF(G456&gt;=Assumptions!$B$4,"Yes","No")</f>
        <v/>
      </c>
      <c r="J456" s="8">
        <f>F456*Assumptions!$B$6</f>
        <v/>
      </c>
      <c r="K456" s="10">
        <f>G456*J456</f>
        <v/>
      </c>
      <c r="L456" s="10">
        <f>IF(I456="Yes",G456*Assumptions!$B$5*J456,0)</f>
        <v/>
      </c>
    </row>
    <row r="457">
      <c r="A457" t="n">
        <v>304</v>
      </c>
      <c r="B457" t="inlineStr">
        <is>
          <t>Research &amp; Development</t>
        </is>
      </c>
      <c r="C457" t="inlineStr">
        <is>
          <t>Laboratory Technician</t>
        </is>
      </c>
      <c r="D457" t="inlineStr">
        <is>
          <t>No</t>
        </is>
      </c>
      <c r="E457" s="8" t="n">
        <v>5914</v>
      </c>
      <c r="F457" s="8">
        <f>E457*Assumptions!$B$7</f>
        <v/>
      </c>
      <c r="G457" s="9" t="n">
        <v>0.0649</v>
      </c>
      <c r="H457" t="inlineStr">
        <is>
          <t>Low</t>
        </is>
      </c>
      <c r="I457">
        <f>IF(G457&gt;=Assumptions!$B$4,"Yes","No")</f>
        <v/>
      </c>
      <c r="J457" s="8">
        <f>F457*Assumptions!$B$6</f>
        <v/>
      </c>
      <c r="K457" s="10">
        <f>G457*J457</f>
        <v/>
      </c>
      <c r="L457" s="10">
        <f>IF(I457="Yes",G457*Assumptions!$B$5*J457,0)</f>
        <v/>
      </c>
    </row>
    <row r="458">
      <c r="A458" t="n">
        <v>97</v>
      </c>
      <c r="B458" t="inlineStr">
        <is>
          <t>Research &amp; Development</t>
        </is>
      </c>
      <c r="C458" t="inlineStr">
        <is>
          <t>Laboratory Technician</t>
        </is>
      </c>
      <c r="D458" t="inlineStr">
        <is>
          <t>No</t>
        </is>
      </c>
      <c r="E458" s="8" t="n">
        <v>3038</v>
      </c>
      <c r="F458" s="8">
        <f>E458*Assumptions!$B$7</f>
        <v/>
      </c>
      <c r="G458" s="9" t="n">
        <v>0.0649</v>
      </c>
      <c r="H458" t="inlineStr">
        <is>
          <t>Low</t>
        </is>
      </c>
      <c r="I458">
        <f>IF(G458&gt;=Assumptions!$B$4,"Yes","No")</f>
        <v/>
      </c>
      <c r="J458" s="8">
        <f>F458*Assumptions!$B$6</f>
        <v/>
      </c>
      <c r="K458" s="10">
        <f>G458*J458</f>
        <v/>
      </c>
      <c r="L458" s="10">
        <f>IF(I458="Yes",G458*Assumptions!$B$5*J458,0)</f>
        <v/>
      </c>
    </row>
    <row r="459">
      <c r="A459" t="n">
        <v>1617</v>
      </c>
      <c r="B459" t="inlineStr">
        <is>
          <t>Research &amp; Development</t>
        </is>
      </c>
      <c r="C459" t="inlineStr">
        <is>
          <t>Laboratory Technician</t>
        </is>
      </c>
      <c r="D459" t="inlineStr">
        <is>
          <t>No</t>
        </is>
      </c>
      <c r="E459" s="8" t="n">
        <v>3211</v>
      </c>
      <c r="F459" s="8">
        <f>E459*Assumptions!$B$7</f>
        <v/>
      </c>
      <c r="G459" s="9" t="n">
        <v>0.0643</v>
      </c>
      <c r="H459" t="inlineStr">
        <is>
          <t>Low</t>
        </is>
      </c>
      <c r="I459">
        <f>IF(G459&gt;=Assumptions!$B$4,"Yes","No")</f>
        <v/>
      </c>
      <c r="J459" s="8">
        <f>F459*Assumptions!$B$6</f>
        <v/>
      </c>
      <c r="K459" s="10">
        <f>G459*J459</f>
        <v/>
      </c>
      <c r="L459" s="10">
        <f>IF(I459="Yes",G459*Assumptions!$B$5*J459,0)</f>
        <v/>
      </c>
    </row>
    <row r="460">
      <c r="A460" t="n">
        <v>1012</v>
      </c>
      <c r="B460" t="inlineStr">
        <is>
          <t>Research &amp; Development</t>
        </is>
      </c>
      <c r="C460" t="inlineStr">
        <is>
          <t>Research Scientist</t>
        </is>
      </c>
      <c r="D460" t="inlineStr">
        <is>
          <t>No</t>
        </is>
      </c>
      <c r="E460" s="8" t="n">
        <v>1051</v>
      </c>
      <c r="F460" s="8">
        <f>E460*Assumptions!$B$7</f>
        <v/>
      </c>
      <c r="G460" s="9" t="n">
        <v>0.0639</v>
      </c>
      <c r="H460" t="inlineStr">
        <is>
          <t>Low</t>
        </is>
      </c>
      <c r="I460">
        <f>IF(G460&gt;=Assumptions!$B$4,"Yes","No")</f>
        <v/>
      </c>
      <c r="J460" s="8">
        <f>F460*Assumptions!$B$6</f>
        <v/>
      </c>
      <c r="K460" s="10">
        <f>G460*J460</f>
        <v/>
      </c>
      <c r="L460" s="10">
        <f>IF(I460="Yes",G460*Assumptions!$B$5*J460,0)</f>
        <v/>
      </c>
    </row>
    <row r="461">
      <c r="A461" t="n">
        <v>384</v>
      </c>
      <c r="B461" t="inlineStr">
        <is>
          <t>Research &amp; Development</t>
        </is>
      </c>
      <c r="C461" t="inlineStr">
        <is>
          <t>Manufacturing Director</t>
        </is>
      </c>
      <c r="D461" t="inlineStr">
        <is>
          <t>No</t>
        </is>
      </c>
      <c r="E461" s="8" t="n">
        <v>6397</v>
      </c>
      <c r="F461" s="8">
        <f>E461*Assumptions!$B$7</f>
        <v/>
      </c>
      <c r="G461" s="9" t="n">
        <v>0.0636</v>
      </c>
      <c r="H461" t="inlineStr">
        <is>
          <t>Low</t>
        </is>
      </c>
      <c r="I461">
        <f>IF(G461&gt;=Assumptions!$B$4,"Yes","No")</f>
        <v/>
      </c>
      <c r="J461" s="8">
        <f>F461*Assumptions!$B$6</f>
        <v/>
      </c>
      <c r="K461" s="10">
        <f>G461*J461</f>
        <v/>
      </c>
      <c r="L461" s="10">
        <f>IF(I461="Yes",G461*Assumptions!$B$5*J461,0)</f>
        <v/>
      </c>
    </row>
    <row r="462">
      <c r="A462" t="n">
        <v>712</v>
      </c>
      <c r="B462" t="inlineStr">
        <is>
          <t>Sales</t>
        </is>
      </c>
      <c r="C462" t="inlineStr">
        <is>
          <t>Sales Executive</t>
        </is>
      </c>
      <c r="D462" t="inlineStr">
        <is>
          <t>No</t>
        </is>
      </c>
      <c r="E462" s="8" t="n">
        <v>8120</v>
      </c>
      <c r="F462" s="8">
        <f>E462*Assumptions!$B$7</f>
        <v/>
      </c>
      <c r="G462" s="9" t="n">
        <v>0.06320000000000001</v>
      </c>
      <c r="H462" t="inlineStr">
        <is>
          <t>Low</t>
        </is>
      </c>
      <c r="I462">
        <f>IF(G462&gt;=Assumptions!$B$4,"Yes","No")</f>
        <v/>
      </c>
      <c r="J462" s="8">
        <f>F462*Assumptions!$B$6</f>
        <v/>
      </c>
      <c r="K462" s="10">
        <f>G462*J462</f>
        <v/>
      </c>
      <c r="L462" s="10">
        <f>IF(I462="Yes",G462*Assumptions!$B$5*J462,0)</f>
        <v/>
      </c>
    </row>
    <row r="463">
      <c r="A463" t="n">
        <v>141</v>
      </c>
      <c r="B463" t="inlineStr">
        <is>
          <t>Research &amp; Development</t>
        </is>
      </c>
      <c r="C463" t="inlineStr">
        <is>
          <t>Research Director</t>
        </is>
      </c>
      <c r="D463" t="inlineStr">
        <is>
          <t>Yes</t>
        </is>
      </c>
      <c r="E463" s="8" t="n">
        <v>18172</v>
      </c>
      <c r="F463" s="8">
        <f>E463*Assumptions!$B$7</f>
        <v/>
      </c>
      <c r="G463" s="9" t="n">
        <v>0.063</v>
      </c>
      <c r="H463" t="inlineStr">
        <is>
          <t>Low</t>
        </is>
      </c>
      <c r="I463">
        <f>IF(G463&gt;=Assumptions!$B$4,"Yes","No")</f>
        <v/>
      </c>
      <c r="J463" s="8">
        <f>F463*Assumptions!$B$6</f>
        <v/>
      </c>
      <c r="K463" s="10">
        <f>G463*J463</f>
        <v/>
      </c>
      <c r="L463" s="10">
        <f>IF(I463="Yes",G463*Assumptions!$B$5*J463,0)</f>
        <v/>
      </c>
    </row>
    <row r="464">
      <c r="A464" t="n">
        <v>1682</v>
      </c>
      <c r="B464" t="inlineStr">
        <is>
          <t>Research &amp; Development</t>
        </is>
      </c>
      <c r="C464" t="inlineStr">
        <is>
          <t>Healthcare Representative</t>
        </is>
      </c>
      <c r="D464" t="inlineStr">
        <is>
          <t>No</t>
        </is>
      </c>
      <c r="E464" s="8" t="n">
        <v>5347</v>
      </c>
      <c r="F464" s="8">
        <f>E464*Assumptions!$B$7</f>
        <v/>
      </c>
      <c r="G464" s="9" t="n">
        <v>0.0629</v>
      </c>
      <c r="H464" t="inlineStr">
        <is>
          <t>Low</t>
        </is>
      </c>
      <c r="I464">
        <f>IF(G464&gt;=Assumptions!$B$4,"Yes","No")</f>
        <v/>
      </c>
      <c r="J464" s="8">
        <f>F464*Assumptions!$B$6</f>
        <v/>
      </c>
      <c r="K464" s="10">
        <f>G464*J464</f>
        <v/>
      </c>
      <c r="L464" s="10">
        <f>IF(I464="Yes",G464*Assumptions!$B$5*J464,0)</f>
        <v/>
      </c>
    </row>
    <row r="465">
      <c r="A465" t="n">
        <v>2064</v>
      </c>
      <c r="B465" t="inlineStr">
        <is>
          <t>Research &amp; Development</t>
        </is>
      </c>
      <c r="C465" t="inlineStr">
        <is>
          <t>Manufacturing Director</t>
        </is>
      </c>
      <c r="D465" t="inlineStr">
        <is>
          <t>Yes</t>
        </is>
      </c>
      <c r="E465" s="8" t="n">
        <v>6142</v>
      </c>
      <c r="F465" s="8">
        <f>E465*Assumptions!$B$7</f>
        <v/>
      </c>
      <c r="G465" s="9" t="n">
        <v>0.06279999999999999</v>
      </c>
      <c r="H465" t="inlineStr">
        <is>
          <t>Low</t>
        </is>
      </c>
      <c r="I465">
        <f>IF(G465&gt;=Assumptions!$B$4,"Yes","No")</f>
        <v/>
      </c>
      <c r="J465" s="8">
        <f>F465*Assumptions!$B$6</f>
        <v/>
      </c>
      <c r="K465" s="10">
        <f>G465*J465</f>
        <v/>
      </c>
      <c r="L465" s="10">
        <f>IF(I465="Yes",G465*Assumptions!$B$5*J465,0)</f>
        <v/>
      </c>
    </row>
    <row r="466">
      <c r="A466" t="n">
        <v>1465</v>
      </c>
      <c r="B466" t="inlineStr">
        <is>
          <t>Research &amp; Development</t>
        </is>
      </c>
      <c r="C466" t="inlineStr">
        <is>
          <t>Manufacturing Director</t>
        </is>
      </c>
      <c r="D466" t="inlineStr">
        <is>
          <t>Yes</t>
        </is>
      </c>
      <c r="E466" s="8" t="n">
        <v>9380</v>
      </c>
      <c r="F466" s="8">
        <f>E466*Assumptions!$B$7</f>
        <v/>
      </c>
      <c r="G466" s="9" t="n">
        <v>0.0625</v>
      </c>
      <c r="H466" t="inlineStr">
        <is>
          <t>Low</t>
        </is>
      </c>
      <c r="I466">
        <f>IF(G466&gt;=Assumptions!$B$4,"Yes","No")</f>
        <v/>
      </c>
      <c r="J466" s="8">
        <f>F466*Assumptions!$B$6</f>
        <v/>
      </c>
      <c r="K466" s="10">
        <f>G466*J466</f>
        <v/>
      </c>
      <c r="L466" s="10">
        <f>IF(I466="Yes",G466*Assumptions!$B$5*J466,0)</f>
        <v/>
      </c>
    </row>
    <row r="467">
      <c r="A467" t="n">
        <v>1428</v>
      </c>
      <c r="B467" t="inlineStr">
        <is>
          <t>Sales</t>
        </is>
      </c>
      <c r="C467" t="inlineStr">
        <is>
          <t>Sales Executive</t>
        </is>
      </c>
      <c r="D467" t="inlineStr">
        <is>
          <t>No</t>
        </is>
      </c>
      <c r="E467" s="8" t="n">
        <v>4779</v>
      </c>
      <c r="F467" s="8">
        <f>E467*Assumptions!$B$7</f>
        <v/>
      </c>
      <c r="G467" s="9" t="n">
        <v>0.0625</v>
      </c>
      <c r="H467" t="inlineStr">
        <is>
          <t>Low</t>
        </is>
      </c>
      <c r="I467">
        <f>IF(G467&gt;=Assumptions!$B$4,"Yes","No")</f>
        <v/>
      </c>
      <c r="J467" s="8">
        <f>F467*Assumptions!$B$6</f>
        <v/>
      </c>
      <c r="K467" s="10">
        <f>G467*J467</f>
        <v/>
      </c>
      <c r="L467" s="10">
        <f>IF(I467="Yes",G467*Assumptions!$B$5*J467,0)</f>
        <v/>
      </c>
    </row>
    <row r="468">
      <c r="A468" t="n">
        <v>1003</v>
      </c>
      <c r="B468" t="inlineStr">
        <is>
          <t>Sales</t>
        </is>
      </c>
      <c r="C468" t="inlineStr">
        <is>
          <t>Sales Executive</t>
        </is>
      </c>
      <c r="D468" t="inlineStr">
        <is>
          <t>Yes</t>
        </is>
      </c>
      <c r="E468" s="8" t="n">
        <v>4163</v>
      </c>
      <c r="F468" s="8">
        <f>E468*Assumptions!$B$7</f>
        <v/>
      </c>
      <c r="G468" s="9" t="n">
        <v>0.0624</v>
      </c>
      <c r="H468" t="inlineStr">
        <is>
          <t>Low</t>
        </is>
      </c>
      <c r="I468">
        <f>IF(G468&gt;=Assumptions!$B$4,"Yes","No")</f>
        <v/>
      </c>
      <c r="J468" s="8">
        <f>F468*Assumptions!$B$6</f>
        <v/>
      </c>
      <c r="K468" s="10">
        <f>G468*J468</f>
        <v/>
      </c>
      <c r="L468" s="10">
        <f>IF(I468="Yes",G468*Assumptions!$B$5*J468,0)</f>
        <v/>
      </c>
    </row>
    <row r="469">
      <c r="A469" t="n">
        <v>12</v>
      </c>
      <c r="B469" t="inlineStr">
        <is>
          <t>Research &amp; Development</t>
        </is>
      </c>
      <c r="C469" t="inlineStr">
        <is>
          <t>Manufacturing Director</t>
        </is>
      </c>
      <c r="D469" t="inlineStr">
        <is>
          <t>No</t>
        </is>
      </c>
      <c r="E469" s="8" t="n">
        <v>9526</v>
      </c>
      <c r="F469" s="8">
        <f>E469*Assumptions!$B$7</f>
        <v/>
      </c>
      <c r="G469" s="9" t="n">
        <v>0.0624</v>
      </c>
      <c r="H469" t="inlineStr">
        <is>
          <t>Low</t>
        </is>
      </c>
      <c r="I469">
        <f>IF(G469&gt;=Assumptions!$B$4,"Yes","No")</f>
        <v/>
      </c>
      <c r="J469" s="8">
        <f>F469*Assumptions!$B$6</f>
        <v/>
      </c>
      <c r="K469" s="10">
        <f>G469*J469</f>
        <v/>
      </c>
      <c r="L469" s="10">
        <f>IF(I469="Yes",G469*Assumptions!$B$5*J469,0)</f>
        <v/>
      </c>
    </row>
    <row r="470">
      <c r="A470" t="n">
        <v>855</v>
      </c>
      <c r="B470" t="inlineStr">
        <is>
          <t>Sales</t>
        </is>
      </c>
      <c r="C470" t="inlineStr">
        <is>
          <t>Sales Executive</t>
        </is>
      </c>
      <c r="D470" t="inlineStr">
        <is>
          <t>No</t>
        </is>
      </c>
      <c r="E470" s="8" t="n">
        <v>4037</v>
      </c>
      <c r="F470" s="8">
        <f>E470*Assumptions!$B$7</f>
        <v/>
      </c>
      <c r="G470" s="9" t="n">
        <v>0.0619</v>
      </c>
      <c r="H470" t="inlineStr">
        <is>
          <t>Low</t>
        </is>
      </c>
      <c r="I470">
        <f>IF(G470&gt;=Assumptions!$B$4,"Yes","No")</f>
        <v/>
      </c>
      <c r="J470" s="8">
        <f>F470*Assumptions!$B$6</f>
        <v/>
      </c>
      <c r="K470" s="10">
        <f>G470*J470</f>
        <v/>
      </c>
      <c r="L470" s="10">
        <f>IF(I470="Yes",G470*Assumptions!$B$5*J470,0)</f>
        <v/>
      </c>
    </row>
    <row r="471">
      <c r="A471" t="n">
        <v>498</v>
      </c>
      <c r="B471" t="inlineStr">
        <is>
          <t>Sales</t>
        </is>
      </c>
      <c r="C471" t="inlineStr">
        <is>
          <t>Sales Executive</t>
        </is>
      </c>
      <c r="D471" t="inlineStr">
        <is>
          <t>No</t>
        </is>
      </c>
      <c r="E471" s="8" t="n">
        <v>5253</v>
      </c>
      <c r="F471" s="8">
        <f>E471*Assumptions!$B$7</f>
        <v/>
      </c>
      <c r="G471" s="9" t="n">
        <v>0.0618</v>
      </c>
      <c r="H471" t="inlineStr">
        <is>
          <t>Low</t>
        </is>
      </c>
      <c r="I471">
        <f>IF(G471&gt;=Assumptions!$B$4,"Yes","No")</f>
        <v/>
      </c>
      <c r="J471" s="8">
        <f>F471*Assumptions!$B$6</f>
        <v/>
      </c>
      <c r="K471" s="10">
        <f>G471*J471</f>
        <v/>
      </c>
      <c r="L471" s="10">
        <f>IF(I471="Yes",G471*Assumptions!$B$5*J471,0)</f>
        <v/>
      </c>
    </row>
    <row r="472">
      <c r="A472" t="n">
        <v>1727</v>
      </c>
      <c r="B472" t="inlineStr">
        <is>
          <t>Research &amp; Development</t>
        </is>
      </c>
      <c r="C472" t="inlineStr">
        <is>
          <t>Healthcare Representative</t>
        </is>
      </c>
      <c r="D472" t="inlineStr">
        <is>
          <t>No</t>
        </is>
      </c>
      <c r="E472" s="8" t="n">
        <v>5562</v>
      </c>
      <c r="F472" s="8">
        <f>E472*Assumptions!$B$7</f>
        <v/>
      </c>
      <c r="G472" s="9" t="n">
        <v>0.0618</v>
      </c>
      <c r="H472" t="inlineStr">
        <is>
          <t>Low</t>
        </is>
      </c>
      <c r="I472">
        <f>IF(G472&gt;=Assumptions!$B$4,"Yes","No")</f>
        <v/>
      </c>
      <c r="J472" s="8">
        <f>F472*Assumptions!$B$6</f>
        <v/>
      </c>
      <c r="K472" s="10">
        <f>G472*J472</f>
        <v/>
      </c>
      <c r="L472" s="10">
        <f>IF(I472="Yes",G472*Assumptions!$B$5*J472,0)</f>
        <v/>
      </c>
    </row>
    <row r="473">
      <c r="A473" t="n">
        <v>747</v>
      </c>
      <c r="B473" t="inlineStr">
        <is>
          <t>Sales</t>
        </is>
      </c>
      <c r="C473" t="inlineStr">
        <is>
          <t>Sales Executive</t>
        </is>
      </c>
      <c r="D473" t="inlineStr">
        <is>
          <t>No</t>
        </is>
      </c>
      <c r="E473" s="8" t="n">
        <v>5304</v>
      </c>
      <c r="F473" s="8">
        <f>E473*Assumptions!$B$7</f>
        <v/>
      </c>
      <c r="G473" s="9" t="n">
        <v>0.0618</v>
      </c>
      <c r="H473" t="inlineStr">
        <is>
          <t>Low</t>
        </is>
      </c>
      <c r="I473">
        <f>IF(G473&gt;=Assumptions!$B$4,"Yes","No")</f>
        <v/>
      </c>
      <c r="J473" s="8">
        <f>F473*Assumptions!$B$6</f>
        <v/>
      </c>
      <c r="K473" s="10">
        <f>G473*J473</f>
        <v/>
      </c>
      <c r="L473" s="10">
        <f>IF(I473="Yes",G473*Assumptions!$B$5*J473,0)</f>
        <v/>
      </c>
    </row>
    <row r="474">
      <c r="A474" t="n">
        <v>1373</v>
      </c>
      <c r="B474" t="inlineStr">
        <is>
          <t>Research &amp; Development</t>
        </is>
      </c>
      <c r="C474" t="inlineStr">
        <is>
          <t>Manufacturing Director</t>
        </is>
      </c>
      <c r="D474" t="inlineStr">
        <is>
          <t>Yes</t>
        </is>
      </c>
      <c r="E474" s="8" t="n">
        <v>13402</v>
      </c>
      <c r="F474" s="8">
        <f>E474*Assumptions!$B$7</f>
        <v/>
      </c>
      <c r="G474" s="9" t="n">
        <v>0.0615</v>
      </c>
      <c r="H474" t="inlineStr">
        <is>
          <t>Low</t>
        </is>
      </c>
      <c r="I474">
        <f>IF(G474&gt;=Assumptions!$B$4,"Yes","No")</f>
        <v/>
      </c>
      <c r="J474" s="8">
        <f>F474*Assumptions!$B$6</f>
        <v/>
      </c>
      <c r="K474" s="10">
        <f>G474*J474</f>
        <v/>
      </c>
      <c r="L474" s="10">
        <f>IF(I474="Yes",G474*Assumptions!$B$5*J474,0)</f>
        <v/>
      </c>
    </row>
    <row r="475">
      <c r="A475" t="n">
        <v>1725</v>
      </c>
      <c r="B475" t="inlineStr">
        <is>
          <t>Research &amp; Development</t>
        </is>
      </c>
      <c r="C475" t="inlineStr">
        <is>
          <t>Laboratory Technician</t>
        </is>
      </c>
      <c r="D475" t="inlineStr">
        <is>
          <t>No</t>
        </is>
      </c>
      <c r="E475" s="8" t="n">
        <v>3907</v>
      </c>
      <c r="F475" s="8">
        <f>E475*Assumptions!$B$7</f>
        <v/>
      </c>
      <c r="G475" s="9" t="n">
        <v>0.0615</v>
      </c>
      <c r="H475" t="inlineStr">
        <is>
          <t>Low</t>
        </is>
      </c>
      <c r="I475">
        <f>IF(G475&gt;=Assumptions!$B$4,"Yes","No")</f>
        <v/>
      </c>
      <c r="J475" s="8">
        <f>F475*Assumptions!$B$6</f>
        <v/>
      </c>
      <c r="K475" s="10">
        <f>G475*J475</f>
        <v/>
      </c>
      <c r="L475" s="10">
        <f>IF(I475="Yes",G475*Assumptions!$B$5*J475,0)</f>
        <v/>
      </c>
    </row>
    <row r="476">
      <c r="A476" t="n">
        <v>1179</v>
      </c>
      <c r="B476" t="inlineStr">
        <is>
          <t>Sales</t>
        </is>
      </c>
      <c r="C476" t="inlineStr">
        <is>
          <t>Sales Executive</t>
        </is>
      </c>
      <c r="D476" t="inlineStr">
        <is>
          <t>No</t>
        </is>
      </c>
      <c r="E476" s="8" t="n">
        <v>6578</v>
      </c>
      <c r="F476" s="8">
        <f>E476*Assumptions!$B$7</f>
        <v/>
      </c>
      <c r="G476" s="9" t="n">
        <v>0.0615</v>
      </c>
      <c r="H476" t="inlineStr">
        <is>
          <t>Low</t>
        </is>
      </c>
      <c r="I476">
        <f>IF(G476&gt;=Assumptions!$B$4,"Yes","No")</f>
        <v/>
      </c>
      <c r="J476" s="8">
        <f>F476*Assumptions!$B$6</f>
        <v/>
      </c>
      <c r="K476" s="10">
        <f>G476*J476</f>
        <v/>
      </c>
      <c r="L476" s="10">
        <f>IF(I476="Yes",G476*Assumptions!$B$5*J476,0)</f>
        <v/>
      </c>
    </row>
    <row r="477">
      <c r="A477" t="n">
        <v>1529</v>
      </c>
      <c r="B477" t="inlineStr">
        <is>
          <t>Research &amp; Development</t>
        </is>
      </c>
      <c r="C477" t="inlineStr">
        <is>
          <t>Healthcare Representative</t>
        </is>
      </c>
      <c r="D477" t="inlineStr">
        <is>
          <t>No</t>
        </is>
      </c>
      <c r="E477" s="8" t="n">
        <v>8606</v>
      </c>
      <c r="F477" s="8">
        <f>E477*Assumptions!$B$7</f>
        <v/>
      </c>
      <c r="G477" s="9" t="n">
        <v>0.0613</v>
      </c>
      <c r="H477" t="inlineStr">
        <is>
          <t>Low</t>
        </is>
      </c>
      <c r="I477">
        <f>IF(G477&gt;=Assumptions!$B$4,"Yes","No")</f>
        <v/>
      </c>
      <c r="J477" s="8">
        <f>F477*Assumptions!$B$6</f>
        <v/>
      </c>
      <c r="K477" s="10">
        <f>G477*J477</f>
        <v/>
      </c>
      <c r="L477" s="10">
        <f>IF(I477="Yes",G477*Assumptions!$B$5*J477,0)</f>
        <v/>
      </c>
    </row>
    <row r="478">
      <c r="A478" t="n">
        <v>195</v>
      </c>
      <c r="B478" t="inlineStr">
        <is>
          <t>Sales</t>
        </is>
      </c>
      <c r="C478" t="inlineStr">
        <is>
          <t>Sales Executive</t>
        </is>
      </c>
      <c r="D478" t="inlineStr">
        <is>
          <t>No</t>
        </is>
      </c>
      <c r="E478" s="8" t="n">
        <v>4668</v>
      </c>
      <c r="F478" s="8">
        <f>E478*Assumptions!$B$7</f>
        <v/>
      </c>
      <c r="G478" s="9" t="n">
        <v>0.0611</v>
      </c>
      <c r="H478" t="inlineStr">
        <is>
          <t>Low</t>
        </is>
      </c>
      <c r="I478">
        <f>IF(G478&gt;=Assumptions!$B$4,"Yes","No")</f>
        <v/>
      </c>
      <c r="J478" s="8">
        <f>F478*Assumptions!$B$6</f>
        <v/>
      </c>
      <c r="K478" s="10">
        <f>G478*J478</f>
        <v/>
      </c>
      <c r="L478" s="10">
        <f>IF(I478="Yes",G478*Assumptions!$B$5*J478,0)</f>
        <v/>
      </c>
    </row>
    <row r="479">
      <c r="A479" t="n">
        <v>184</v>
      </c>
      <c r="B479" t="inlineStr">
        <is>
          <t>Human Resources</t>
        </is>
      </c>
      <c r="C479" t="inlineStr">
        <is>
          <t>Human Resources</t>
        </is>
      </c>
      <c r="D479" t="inlineStr">
        <is>
          <t>Yes</t>
        </is>
      </c>
      <c r="E479" s="8" t="n">
        <v>6347</v>
      </c>
      <c r="F479" s="8">
        <f>E479*Assumptions!$B$7</f>
        <v/>
      </c>
      <c r="G479" s="9" t="n">
        <v>0.061</v>
      </c>
      <c r="H479" t="inlineStr">
        <is>
          <t>Low</t>
        </is>
      </c>
      <c r="I479">
        <f>IF(G479&gt;=Assumptions!$B$4,"Yes","No")</f>
        <v/>
      </c>
      <c r="J479" s="8">
        <f>F479*Assumptions!$B$6</f>
        <v/>
      </c>
      <c r="K479" s="10">
        <f>G479*J479</f>
        <v/>
      </c>
      <c r="L479" s="10">
        <f>IF(I479="Yes",G479*Assumptions!$B$5*J479,0)</f>
        <v/>
      </c>
    </row>
    <row r="480">
      <c r="A480" t="n">
        <v>462</v>
      </c>
      <c r="B480" t="inlineStr">
        <is>
          <t>Research &amp; Development</t>
        </is>
      </c>
      <c r="C480" t="inlineStr">
        <is>
          <t>Manufacturing Director</t>
        </is>
      </c>
      <c r="D480" t="inlineStr">
        <is>
          <t>Yes</t>
        </is>
      </c>
      <c r="E480" s="8" t="n">
        <v>7143</v>
      </c>
      <c r="F480" s="8">
        <f>E480*Assumptions!$B$7</f>
        <v/>
      </c>
      <c r="G480" s="9" t="n">
        <v>0.061</v>
      </c>
      <c r="H480" t="inlineStr">
        <is>
          <t>Low</t>
        </is>
      </c>
      <c r="I480">
        <f>IF(G480&gt;=Assumptions!$B$4,"Yes","No")</f>
        <v/>
      </c>
      <c r="J480" s="8">
        <f>F480*Assumptions!$B$6</f>
        <v/>
      </c>
      <c r="K480" s="10">
        <f>G480*J480</f>
        <v/>
      </c>
      <c r="L480" s="10">
        <f>IF(I480="Yes",G480*Assumptions!$B$5*J480,0)</f>
        <v/>
      </c>
    </row>
    <row r="481">
      <c r="A481" t="n">
        <v>1852</v>
      </c>
      <c r="B481" t="inlineStr">
        <is>
          <t>Research &amp; Development</t>
        </is>
      </c>
      <c r="C481" t="inlineStr">
        <is>
          <t>Laboratory Technician</t>
        </is>
      </c>
      <c r="D481" t="inlineStr">
        <is>
          <t>No</t>
        </is>
      </c>
      <c r="E481" s="8" t="n">
        <v>3812</v>
      </c>
      <c r="F481" s="8">
        <f>E481*Assumptions!$B$7</f>
        <v/>
      </c>
      <c r="G481" s="9" t="n">
        <v>0.0609</v>
      </c>
      <c r="H481" t="inlineStr">
        <is>
          <t>Low</t>
        </is>
      </c>
      <c r="I481">
        <f>IF(G481&gt;=Assumptions!$B$4,"Yes","No")</f>
        <v/>
      </c>
      <c r="J481" s="8">
        <f>F481*Assumptions!$B$6</f>
        <v/>
      </c>
      <c r="K481" s="10">
        <f>G481*J481</f>
        <v/>
      </c>
      <c r="L481" s="10">
        <f>IF(I481="Yes",G481*Assumptions!$B$5*J481,0)</f>
        <v/>
      </c>
    </row>
    <row r="482">
      <c r="A482" t="n">
        <v>152</v>
      </c>
      <c r="B482" t="inlineStr">
        <is>
          <t>Sales</t>
        </is>
      </c>
      <c r="C482" t="inlineStr">
        <is>
          <t>Sales Executive</t>
        </is>
      </c>
      <c r="D482" t="inlineStr">
        <is>
          <t>No</t>
        </is>
      </c>
      <c r="E482" s="8" t="n">
        <v>7428</v>
      </c>
      <c r="F482" s="8">
        <f>E482*Assumptions!$B$7</f>
        <v/>
      </c>
      <c r="G482" s="9" t="n">
        <v>0.0606</v>
      </c>
      <c r="H482" t="inlineStr">
        <is>
          <t>Low</t>
        </is>
      </c>
      <c r="I482">
        <f>IF(G482&gt;=Assumptions!$B$4,"Yes","No")</f>
        <v/>
      </c>
      <c r="J482" s="8">
        <f>F482*Assumptions!$B$6</f>
        <v/>
      </c>
      <c r="K482" s="10">
        <f>G482*J482</f>
        <v/>
      </c>
      <c r="L482" s="10">
        <f>IF(I482="Yes",G482*Assumptions!$B$5*J482,0)</f>
        <v/>
      </c>
    </row>
    <row r="483">
      <c r="A483" t="n">
        <v>1073</v>
      </c>
      <c r="B483" t="inlineStr">
        <is>
          <t>Research &amp; Development</t>
        </is>
      </c>
      <c r="C483" t="inlineStr">
        <is>
          <t>Manufacturing Director</t>
        </is>
      </c>
      <c r="D483" t="inlineStr">
        <is>
          <t>No</t>
        </is>
      </c>
      <c r="E483" s="8" t="n">
        <v>8858</v>
      </c>
      <c r="F483" s="8">
        <f>E483*Assumptions!$B$7</f>
        <v/>
      </c>
      <c r="G483" s="9" t="n">
        <v>0.0606</v>
      </c>
      <c r="H483" t="inlineStr">
        <is>
          <t>Low</t>
        </is>
      </c>
      <c r="I483">
        <f>IF(G483&gt;=Assumptions!$B$4,"Yes","No")</f>
        <v/>
      </c>
      <c r="J483" s="8">
        <f>F483*Assumptions!$B$6</f>
        <v/>
      </c>
      <c r="K483" s="10">
        <f>G483*J483</f>
        <v/>
      </c>
      <c r="L483" s="10">
        <f>IF(I483="Yes",G483*Assumptions!$B$5*J483,0)</f>
        <v/>
      </c>
    </row>
    <row r="484">
      <c r="A484" t="n">
        <v>639</v>
      </c>
      <c r="B484" t="inlineStr">
        <is>
          <t>Research &amp; Development</t>
        </is>
      </c>
      <c r="C484" t="inlineStr">
        <is>
          <t>Research Scientist</t>
        </is>
      </c>
      <c r="D484" t="inlineStr">
        <is>
          <t>Yes</t>
        </is>
      </c>
      <c r="E484" s="8" t="n">
        <v>2725</v>
      </c>
      <c r="F484" s="8">
        <f>E484*Assumptions!$B$7</f>
        <v/>
      </c>
      <c r="G484" s="9" t="n">
        <v>0.0602</v>
      </c>
      <c r="H484" t="inlineStr">
        <is>
          <t>Low</t>
        </is>
      </c>
      <c r="I484">
        <f>IF(G484&gt;=Assumptions!$B$4,"Yes","No")</f>
        <v/>
      </c>
      <c r="J484" s="8">
        <f>F484*Assumptions!$B$6</f>
        <v/>
      </c>
      <c r="K484" s="10">
        <f>G484*J484</f>
        <v/>
      </c>
      <c r="L484" s="10">
        <f>IF(I484="Yes",G484*Assumptions!$B$5*J484,0)</f>
        <v/>
      </c>
    </row>
    <row r="485">
      <c r="A485" t="n">
        <v>1394</v>
      </c>
      <c r="B485" t="inlineStr">
        <is>
          <t>Research &amp; Development</t>
        </is>
      </c>
      <c r="C485" t="inlineStr">
        <is>
          <t>Research Scientist</t>
        </is>
      </c>
      <c r="D485" t="inlineStr">
        <is>
          <t>Yes</t>
        </is>
      </c>
      <c r="E485" s="8" t="n">
        <v>2996</v>
      </c>
      <c r="F485" s="8">
        <f>E485*Assumptions!$B$7</f>
        <v/>
      </c>
      <c r="G485" s="9" t="n">
        <v>0.0601</v>
      </c>
      <c r="H485" t="inlineStr">
        <is>
          <t>Low</t>
        </is>
      </c>
      <c r="I485">
        <f>IF(G485&gt;=Assumptions!$B$4,"Yes","No")</f>
        <v/>
      </c>
      <c r="J485" s="8">
        <f>F485*Assumptions!$B$6</f>
        <v/>
      </c>
      <c r="K485" s="10">
        <f>G485*J485</f>
        <v/>
      </c>
      <c r="L485" s="10">
        <f>IF(I485="Yes",G485*Assumptions!$B$5*J485,0)</f>
        <v/>
      </c>
    </row>
    <row r="486">
      <c r="A486" t="n">
        <v>1541</v>
      </c>
      <c r="B486" t="inlineStr">
        <is>
          <t>Sales</t>
        </is>
      </c>
      <c r="C486" t="inlineStr">
        <is>
          <t>Sales Representative</t>
        </is>
      </c>
      <c r="D486" t="inlineStr">
        <is>
          <t>Yes</t>
        </is>
      </c>
      <c r="E486" s="8" t="n">
        <v>2308</v>
      </c>
      <c r="F486" s="8">
        <f>E486*Assumptions!$B$7</f>
        <v/>
      </c>
      <c r="G486" s="9" t="n">
        <v>0.0601</v>
      </c>
      <c r="H486" t="inlineStr">
        <is>
          <t>Low</t>
        </is>
      </c>
      <c r="I486">
        <f>IF(G486&gt;=Assumptions!$B$4,"Yes","No")</f>
        <v/>
      </c>
      <c r="J486" s="8">
        <f>F486*Assumptions!$B$6</f>
        <v/>
      </c>
      <c r="K486" s="10">
        <f>G486*J486</f>
        <v/>
      </c>
      <c r="L486" s="10">
        <f>IF(I486="Yes",G486*Assumptions!$B$5*J486,0)</f>
        <v/>
      </c>
    </row>
    <row r="487">
      <c r="A487" t="n">
        <v>2018</v>
      </c>
      <c r="B487" t="inlineStr">
        <is>
          <t>Sales</t>
        </is>
      </c>
      <c r="C487" t="inlineStr">
        <is>
          <t>Sales Executive</t>
        </is>
      </c>
      <c r="D487" t="inlineStr">
        <is>
          <t>Yes</t>
        </is>
      </c>
      <c r="E487" s="8" t="n">
        <v>4907</v>
      </c>
      <c r="F487" s="8">
        <f>E487*Assumptions!$B$7</f>
        <v/>
      </c>
      <c r="G487" s="9" t="n">
        <v>0.0596</v>
      </c>
      <c r="H487" t="inlineStr">
        <is>
          <t>Low</t>
        </is>
      </c>
      <c r="I487">
        <f>IF(G487&gt;=Assumptions!$B$4,"Yes","No")</f>
        <v/>
      </c>
      <c r="J487" s="8">
        <f>F487*Assumptions!$B$6</f>
        <v/>
      </c>
      <c r="K487" s="10">
        <f>G487*J487</f>
        <v/>
      </c>
      <c r="L487" s="10">
        <f>IF(I487="Yes",G487*Assumptions!$B$5*J487,0)</f>
        <v/>
      </c>
    </row>
    <row r="488">
      <c r="A488" t="n">
        <v>1881</v>
      </c>
      <c r="B488" t="inlineStr">
        <is>
          <t>Research &amp; Development</t>
        </is>
      </c>
      <c r="C488" t="inlineStr">
        <is>
          <t>Laboratory Technician</t>
        </is>
      </c>
      <c r="D488" t="inlineStr">
        <is>
          <t>No</t>
        </is>
      </c>
      <c r="E488" s="8" t="n">
        <v>4197</v>
      </c>
      <c r="F488" s="8">
        <f>E488*Assumptions!$B$7</f>
        <v/>
      </c>
      <c r="G488" s="9" t="n">
        <v>0.0587</v>
      </c>
      <c r="H488" t="inlineStr">
        <is>
          <t>Low</t>
        </is>
      </c>
      <c r="I488">
        <f>IF(G488&gt;=Assumptions!$B$4,"Yes","No")</f>
        <v/>
      </c>
      <c r="J488" s="8">
        <f>F488*Assumptions!$B$6</f>
        <v/>
      </c>
      <c r="K488" s="10">
        <f>G488*J488</f>
        <v/>
      </c>
      <c r="L488" s="10">
        <f>IF(I488="Yes",G488*Assumptions!$B$5*J488,0)</f>
        <v/>
      </c>
    </row>
    <row r="489">
      <c r="A489" t="n">
        <v>1401</v>
      </c>
      <c r="B489" t="inlineStr">
        <is>
          <t>Research &amp; Development</t>
        </is>
      </c>
      <c r="C489" t="inlineStr">
        <is>
          <t>Manufacturing Director</t>
        </is>
      </c>
      <c r="D489" t="inlineStr">
        <is>
          <t>Yes</t>
        </is>
      </c>
      <c r="E489" s="8" t="n">
        <v>13247</v>
      </c>
      <c r="F489" s="8">
        <f>E489*Assumptions!$B$7</f>
        <v/>
      </c>
      <c r="G489" s="9" t="n">
        <v>0.0587</v>
      </c>
      <c r="H489" t="inlineStr">
        <is>
          <t>Low</t>
        </is>
      </c>
      <c r="I489">
        <f>IF(G489&gt;=Assumptions!$B$4,"Yes","No")</f>
        <v/>
      </c>
      <c r="J489" s="8">
        <f>F489*Assumptions!$B$6</f>
        <v/>
      </c>
      <c r="K489" s="10">
        <f>G489*J489</f>
        <v/>
      </c>
      <c r="L489" s="10">
        <f>IF(I489="Yes",G489*Assumptions!$B$5*J489,0)</f>
        <v/>
      </c>
    </row>
    <row r="490">
      <c r="A490" t="n">
        <v>615</v>
      </c>
      <c r="B490" t="inlineStr">
        <is>
          <t>Sales</t>
        </is>
      </c>
      <c r="C490" t="inlineStr">
        <is>
          <t>Sales Executive</t>
        </is>
      </c>
      <c r="D490" t="inlineStr">
        <is>
          <t>No</t>
        </is>
      </c>
      <c r="E490" s="8" t="n">
        <v>10932</v>
      </c>
      <c r="F490" s="8">
        <f>E490*Assumptions!$B$7</f>
        <v/>
      </c>
      <c r="G490" s="9" t="n">
        <v>0.0585</v>
      </c>
      <c r="H490" t="inlineStr">
        <is>
          <t>Low</t>
        </is>
      </c>
      <c r="I490">
        <f>IF(G490&gt;=Assumptions!$B$4,"Yes","No")</f>
        <v/>
      </c>
      <c r="J490" s="8">
        <f>F490*Assumptions!$B$6</f>
        <v/>
      </c>
      <c r="K490" s="10">
        <f>G490*J490</f>
        <v/>
      </c>
      <c r="L490" s="10">
        <f>IF(I490="Yes",G490*Assumptions!$B$5*J490,0)</f>
        <v/>
      </c>
    </row>
    <row r="491">
      <c r="A491" t="n">
        <v>1545</v>
      </c>
      <c r="B491" t="inlineStr">
        <is>
          <t>Research &amp; Development</t>
        </is>
      </c>
      <c r="C491" t="inlineStr">
        <is>
          <t>Manufacturing Director</t>
        </is>
      </c>
      <c r="D491" t="inlineStr">
        <is>
          <t>No</t>
        </is>
      </c>
      <c r="E491" s="8" t="n">
        <v>4320</v>
      </c>
      <c r="F491" s="8">
        <f>E491*Assumptions!$B$7</f>
        <v/>
      </c>
      <c r="G491" s="9" t="n">
        <v>0.0583</v>
      </c>
      <c r="H491" t="inlineStr">
        <is>
          <t>Low</t>
        </is>
      </c>
      <c r="I491">
        <f>IF(G491&gt;=Assumptions!$B$4,"Yes","No")</f>
        <v/>
      </c>
      <c r="J491" s="8">
        <f>F491*Assumptions!$B$6</f>
        <v/>
      </c>
      <c r="K491" s="10">
        <f>G491*J491</f>
        <v/>
      </c>
      <c r="L491" s="10">
        <f>IF(I491="Yes",G491*Assumptions!$B$5*J491,0)</f>
        <v/>
      </c>
    </row>
    <row r="492">
      <c r="A492" t="n">
        <v>1083</v>
      </c>
      <c r="B492" t="inlineStr">
        <is>
          <t>Research &amp; Development</t>
        </is>
      </c>
      <c r="C492" t="inlineStr">
        <is>
          <t>Laboratory Technician</t>
        </is>
      </c>
      <c r="D492" t="inlineStr">
        <is>
          <t>No</t>
        </is>
      </c>
      <c r="E492" s="8" t="n">
        <v>3955</v>
      </c>
      <c r="F492" s="8">
        <f>E492*Assumptions!$B$7</f>
        <v/>
      </c>
      <c r="G492" s="9" t="n">
        <v>0.0581</v>
      </c>
      <c r="H492" t="inlineStr">
        <is>
          <t>Low</t>
        </is>
      </c>
      <c r="I492">
        <f>IF(G492&gt;=Assumptions!$B$4,"Yes","No")</f>
        <v/>
      </c>
      <c r="J492" s="8">
        <f>F492*Assumptions!$B$6</f>
        <v/>
      </c>
      <c r="K492" s="10">
        <f>G492*J492</f>
        <v/>
      </c>
      <c r="L492" s="10">
        <f>IF(I492="Yes",G492*Assumptions!$B$5*J492,0)</f>
        <v/>
      </c>
    </row>
    <row r="493">
      <c r="A493" t="n">
        <v>486</v>
      </c>
      <c r="B493" t="inlineStr">
        <is>
          <t>Research &amp; Development</t>
        </is>
      </c>
      <c r="C493" t="inlineStr">
        <is>
          <t>Laboratory Technician</t>
        </is>
      </c>
      <c r="D493" t="inlineStr">
        <is>
          <t>No</t>
        </is>
      </c>
      <c r="E493" s="8" t="n">
        <v>3452</v>
      </c>
      <c r="F493" s="8">
        <f>E493*Assumptions!$B$7</f>
        <v/>
      </c>
      <c r="G493" s="9" t="n">
        <v>0.0581</v>
      </c>
      <c r="H493" t="inlineStr">
        <is>
          <t>Low</t>
        </is>
      </c>
      <c r="I493">
        <f>IF(G493&gt;=Assumptions!$B$4,"Yes","No")</f>
        <v/>
      </c>
      <c r="J493" s="8">
        <f>F493*Assumptions!$B$6</f>
        <v/>
      </c>
      <c r="K493" s="10">
        <f>G493*J493</f>
        <v/>
      </c>
      <c r="L493" s="10">
        <f>IF(I493="Yes",G493*Assumptions!$B$5*J493,0)</f>
        <v/>
      </c>
    </row>
    <row r="494">
      <c r="A494" t="n">
        <v>1293</v>
      </c>
      <c r="B494" t="inlineStr">
        <is>
          <t>Sales</t>
        </is>
      </c>
      <c r="C494" t="inlineStr">
        <is>
          <t>Sales Executive</t>
        </is>
      </c>
      <c r="D494" t="inlineStr">
        <is>
          <t>No</t>
        </is>
      </c>
      <c r="E494" s="8" t="n">
        <v>10231</v>
      </c>
      <c r="F494" s="8">
        <f>E494*Assumptions!$B$7</f>
        <v/>
      </c>
      <c r="G494" s="9" t="n">
        <v>0.0579</v>
      </c>
      <c r="H494" t="inlineStr">
        <is>
          <t>Low</t>
        </is>
      </c>
      <c r="I494">
        <f>IF(G494&gt;=Assumptions!$B$4,"Yes","No")</f>
        <v/>
      </c>
      <c r="J494" s="8">
        <f>F494*Assumptions!$B$6</f>
        <v/>
      </c>
      <c r="K494" s="10">
        <f>G494*J494</f>
        <v/>
      </c>
      <c r="L494" s="10">
        <f>IF(I494="Yes",G494*Assumptions!$B$5*J494,0)</f>
        <v/>
      </c>
    </row>
    <row r="495">
      <c r="A495" t="n">
        <v>1124</v>
      </c>
      <c r="B495" t="inlineStr">
        <is>
          <t>Sales</t>
        </is>
      </c>
      <c r="C495" t="inlineStr">
        <is>
          <t>Manager</t>
        </is>
      </c>
      <c r="D495" t="inlineStr">
        <is>
          <t>No</t>
        </is>
      </c>
      <c r="E495" s="8" t="n">
        <v>17465</v>
      </c>
      <c r="F495" s="8">
        <f>E495*Assumptions!$B$7</f>
        <v/>
      </c>
      <c r="G495" s="9" t="n">
        <v>0.0578</v>
      </c>
      <c r="H495" t="inlineStr">
        <is>
          <t>Low</t>
        </is>
      </c>
      <c r="I495">
        <f>IF(G495&gt;=Assumptions!$B$4,"Yes","No")</f>
        <v/>
      </c>
      <c r="J495" s="8">
        <f>F495*Assumptions!$B$6</f>
        <v/>
      </c>
      <c r="K495" s="10">
        <f>G495*J495</f>
        <v/>
      </c>
      <c r="L495" s="10">
        <f>IF(I495="Yes",G495*Assumptions!$B$5*J495,0)</f>
        <v/>
      </c>
    </row>
    <row r="496">
      <c r="A496" t="n">
        <v>481</v>
      </c>
      <c r="B496" t="inlineStr">
        <is>
          <t>Sales</t>
        </is>
      </c>
      <c r="C496" t="inlineStr">
        <is>
          <t>Sales Executive</t>
        </is>
      </c>
      <c r="D496" t="inlineStr">
        <is>
          <t>No</t>
        </is>
      </c>
      <c r="E496" s="8" t="n">
        <v>9699</v>
      </c>
      <c r="F496" s="8">
        <f>E496*Assumptions!$B$7</f>
        <v/>
      </c>
      <c r="G496" s="9" t="n">
        <v>0.0575</v>
      </c>
      <c r="H496" t="inlineStr">
        <is>
          <t>Low</t>
        </is>
      </c>
      <c r="I496">
        <f>IF(G496&gt;=Assumptions!$B$4,"Yes","No")</f>
        <v/>
      </c>
      <c r="J496" s="8">
        <f>F496*Assumptions!$B$6</f>
        <v/>
      </c>
      <c r="K496" s="10">
        <f>G496*J496</f>
        <v/>
      </c>
      <c r="L496" s="10">
        <f>IF(I496="Yes",G496*Assumptions!$B$5*J496,0)</f>
        <v/>
      </c>
    </row>
    <row r="497">
      <c r="A497" t="n">
        <v>1417</v>
      </c>
      <c r="B497" t="inlineStr">
        <is>
          <t>Research &amp; Development</t>
        </is>
      </c>
      <c r="C497" t="inlineStr">
        <is>
          <t>Laboratory Technician</t>
        </is>
      </c>
      <c r="D497" t="inlineStr">
        <is>
          <t>No</t>
        </is>
      </c>
      <c r="E497" s="8" t="n">
        <v>3578</v>
      </c>
      <c r="F497" s="8">
        <f>E497*Assumptions!$B$7</f>
        <v/>
      </c>
      <c r="G497" s="9" t="n">
        <v>0.0573</v>
      </c>
      <c r="H497" t="inlineStr">
        <is>
          <t>Low</t>
        </is>
      </c>
      <c r="I497">
        <f>IF(G497&gt;=Assumptions!$B$4,"Yes","No")</f>
        <v/>
      </c>
      <c r="J497" s="8">
        <f>F497*Assumptions!$B$6</f>
        <v/>
      </c>
      <c r="K497" s="10">
        <f>G497*J497</f>
        <v/>
      </c>
      <c r="L497" s="10">
        <f>IF(I497="Yes",G497*Assumptions!$B$5*J497,0)</f>
        <v/>
      </c>
    </row>
    <row r="498">
      <c r="A498" t="n">
        <v>1736</v>
      </c>
      <c r="B498" t="inlineStr">
        <is>
          <t>Research &amp; Development</t>
        </is>
      </c>
      <c r="C498" t="inlineStr">
        <is>
          <t>Manufacturing Director</t>
        </is>
      </c>
      <c r="D498" t="inlineStr">
        <is>
          <t>No</t>
        </is>
      </c>
      <c r="E498" s="8" t="n">
        <v>5238</v>
      </c>
      <c r="F498" s="8">
        <f>E498*Assumptions!$B$7</f>
        <v/>
      </c>
      <c r="G498" s="9" t="n">
        <v>0.0573</v>
      </c>
      <c r="H498" t="inlineStr">
        <is>
          <t>Low</t>
        </is>
      </c>
      <c r="I498">
        <f>IF(G498&gt;=Assumptions!$B$4,"Yes","No")</f>
        <v/>
      </c>
      <c r="J498" s="8">
        <f>F498*Assumptions!$B$6</f>
        <v/>
      </c>
      <c r="K498" s="10">
        <f>G498*J498</f>
        <v/>
      </c>
      <c r="L498" s="10">
        <f>IF(I498="Yes",G498*Assumptions!$B$5*J498,0)</f>
        <v/>
      </c>
    </row>
    <row r="499">
      <c r="A499" t="n">
        <v>430</v>
      </c>
      <c r="B499" t="inlineStr">
        <is>
          <t>Research &amp; Development</t>
        </is>
      </c>
      <c r="C499" t="inlineStr">
        <is>
          <t>Laboratory Technician</t>
        </is>
      </c>
      <c r="D499" t="inlineStr">
        <is>
          <t>No</t>
        </is>
      </c>
      <c r="E499" s="8" t="n">
        <v>2455</v>
      </c>
      <c r="F499" s="8">
        <f>E499*Assumptions!$B$7</f>
        <v/>
      </c>
      <c r="G499" s="9" t="n">
        <v>0.0572</v>
      </c>
      <c r="H499" t="inlineStr">
        <is>
          <t>Low</t>
        </is>
      </c>
      <c r="I499">
        <f>IF(G499&gt;=Assumptions!$B$4,"Yes","No")</f>
        <v/>
      </c>
      <c r="J499" s="8">
        <f>F499*Assumptions!$B$6</f>
        <v/>
      </c>
      <c r="K499" s="10">
        <f>G499*J499</f>
        <v/>
      </c>
      <c r="L499" s="10">
        <f>IF(I499="Yes",G499*Assumptions!$B$5*J499,0)</f>
        <v/>
      </c>
    </row>
    <row r="500">
      <c r="A500" t="n">
        <v>2034</v>
      </c>
      <c r="B500" t="inlineStr">
        <is>
          <t>Research &amp; Development</t>
        </is>
      </c>
      <c r="C500" t="inlineStr">
        <is>
          <t>Manufacturing Director</t>
        </is>
      </c>
      <c r="D500" t="inlineStr">
        <is>
          <t>No</t>
        </is>
      </c>
      <c r="E500" s="8" t="n">
        <v>13570</v>
      </c>
      <c r="F500" s="8">
        <f>E500*Assumptions!$B$7</f>
        <v/>
      </c>
      <c r="G500" s="9" t="n">
        <v>0.0571</v>
      </c>
      <c r="H500" t="inlineStr">
        <is>
          <t>Low</t>
        </is>
      </c>
      <c r="I500">
        <f>IF(G500&gt;=Assumptions!$B$4,"Yes","No")</f>
        <v/>
      </c>
      <c r="J500" s="8">
        <f>F500*Assumptions!$B$6</f>
        <v/>
      </c>
      <c r="K500" s="10">
        <f>G500*J500</f>
        <v/>
      </c>
      <c r="L500" s="10">
        <f>IF(I500="Yes",G500*Assumptions!$B$5*J500,0)</f>
        <v/>
      </c>
    </row>
    <row r="501">
      <c r="A501" t="n">
        <v>1119</v>
      </c>
      <c r="B501" t="inlineStr">
        <is>
          <t>Sales</t>
        </is>
      </c>
      <c r="C501" t="inlineStr">
        <is>
          <t>Sales Executive</t>
        </is>
      </c>
      <c r="D501" t="inlineStr">
        <is>
          <t>Yes</t>
        </is>
      </c>
      <c r="E501" s="8" t="n">
        <v>8740</v>
      </c>
      <c r="F501" s="8">
        <f>E501*Assumptions!$B$7</f>
        <v/>
      </c>
      <c r="G501" s="9" t="n">
        <v>0.0567</v>
      </c>
      <c r="H501" t="inlineStr">
        <is>
          <t>Low</t>
        </is>
      </c>
      <c r="I501">
        <f>IF(G501&gt;=Assumptions!$B$4,"Yes","No")</f>
        <v/>
      </c>
      <c r="J501" s="8">
        <f>F501*Assumptions!$B$6</f>
        <v/>
      </c>
      <c r="K501" s="10">
        <f>G501*J501</f>
        <v/>
      </c>
      <c r="L501" s="10">
        <f>IF(I501="Yes",G501*Assumptions!$B$5*J501,0)</f>
        <v/>
      </c>
    </row>
    <row r="502">
      <c r="A502" t="n">
        <v>194</v>
      </c>
      <c r="B502" t="inlineStr">
        <is>
          <t>Research &amp; Development</t>
        </is>
      </c>
      <c r="C502" t="inlineStr">
        <is>
          <t>Research Scientist</t>
        </is>
      </c>
      <c r="D502" t="inlineStr">
        <is>
          <t>No</t>
        </is>
      </c>
      <c r="E502" s="8" t="n">
        <v>2632</v>
      </c>
      <c r="F502" s="8">
        <f>E502*Assumptions!$B$7</f>
        <v/>
      </c>
      <c r="G502" s="9" t="n">
        <v>0.0566</v>
      </c>
      <c r="H502" t="inlineStr">
        <is>
          <t>Low</t>
        </is>
      </c>
      <c r="I502">
        <f>IF(G502&gt;=Assumptions!$B$4,"Yes","No")</f>
        <v/>
      </c>
      <c r="J502" s="8">
        <f>F502*Assumptions!$B$6</f>
        <v/>
      </c>
      <c r="K502" s="10">
        <f>G502*J502</f>
        <v/>
      </c>
      <c r="L502" s="10">
        <f>IF(I502="Yes",G502*Assumptions!$B$5*J502,0)</f>
        <v/>
      </c>
    </row>
    <row r="503">
      <c r="A503" t="n">
        <v>1048</v>
      </c>
      <c r="B503" t="inlineStr">
        <is>
          <t>Sales</t>
        </is>
      </c>
      <c r="C503" t="inlineStr">
        <is>
          <t>Manager</t>
        </is>
      </c>
      <c r="D503" t="inlineStr">
        <is>
          <t>Yes</t>
        </is>
      </c>
      <c r="E503" s="8" t="n">
        <v>11904</v>
      </c>
      <c r="F503" s="8">
        <f>E503*Assumptions!$B$7</f>
        <v/>
      </c>
      <c r="G503" s="9" t="n">
        <v>0.0562</v>
      </c>
      <c r="H503" t="inlineStr">
        <is>
          <t>Low</t>
        </is>
      </c>
      <c r="I503">
        <f>IF(G503&gt;=Assumptions!$B$4,"Yes","No")</f>
        <v/>
      </c>
      <c r="J503" s="8">
        <f>F503*Assumptions!$B$6</f>
        <v/>
      </c>
      <c r="K503" s="10">
        <f>G503*J503</f>
        <v/>
      </c>
      <c r="L503" s="10">
        <f>IF(I503="Yes",G503*Assumptions!$B$5*J503,0)</f>
        <v/>
      </c>
    </row>
    <row r="504">
      <c r="A504" t="n">
        <v>1673</v>
      </c>
      <c r="B504" t="inlineStr">
        <is>
          <t>Sales</t>
        </is>
      </c>
      <c r="C504" t="inlineStr">
        <is>
          <t>Sales Executive</t>
        </is>
      </c>
      <c r="D504" t="inlineStr">
        <is>
          <t>No</t>
        </is>
      </c>
      <c r="E504" s="8" t="n">
        <v>5476</v>
      </c>
      <c r="F504" s="8">
        <f>E504*Assumptions!$B$7</f>
        <v/>
      </c>
      <c r="G504" s="9" t="n">
        <v>0.0561</v>
      </c>
      <c r="H504" t="inlineStr">
        <is>
          <t>Low</t>
        </is>
      </c>
      <c r="I504">
        <f>IF(G504&gt;=Assumptions!$B$4,"Yes","No")</f>
        <v/>
      </c>
      <c r="J504" s="8">
        <f>F504*Assumptions!$B$6</f>
        <v/>
      </c>
      <c r="K504" s="10">
        <f>G504*J504</f>
        <v/>
      </c>
      <c r="L504" s="10">
        <f>IF(I504="Yes",G504*Assumptions!$B$5*J504,0)</f>
        <v/>
      </c>
    </row>
    <row r="505">
      <c r="A505" t="n">
        <v>176</v>
      </c>
      <c r="B505" t="inlineStr">
        <is>
          <t>Sales</t>
        </is>
      </c>
      <c r="C505" t="inlineStr">
        <is>
          <t>Sales Executive</t>
        </is>
      </c>
      <c r="D505" t="inlineStr">
        <is>
          <t>Yes</t>
        </is>
      </c>
      <c r="E505" s="8" t="n">
        <v>8189</v>
      </c>
      <c r="F505" s="8">
        <f>E505*Assumptions!$B$7</f>
        <v/>
      </c>
      <c r="G505" s="9" t="n">
        <v>0.056</v>
      </c>
      <c r="H505" t="inlineStr">
        <is>
          <t>Low</t>
        </is>
      </c>
      <c r="I505">
        <f>IF(G505&gt;=Assumptions!$B$4,"Yes","No")</f>
        <v/>
      </c>
      <c r="J505" s="8">
        <f>F505*Assumptions!$B$6</f>
        <v/>
      </c>
      <c r="K505" s="10">
        <f>G505*J505</f>
        <v/>
      </c>
      <c r="L505" s="10">
        <f>IF(I505="Yes",G505*Assumptions!$B$5*J505,0)</f>
        <v/>
      </c>
    </row>
    <row r="506">
      <c r="A506" t="n">
        <v>1374</v>
      </c>
      <c r="B506" t="inlineStr">
        <is>
          <t>Research &amp; Development</t>
        </is>
      </c>
      <c r="C506" t="inlineStr">
        <is>
          <t>Research Scientist</t>
        </is>
      </c>
      <c r="D506" t="inlineStr">
        <is>
          <t>No</t>
        </is>
      </c>
      <c r="E506" s="8" t="n">
        <v>2029</v>
      </c>
      <c r="F506" s="8">
        <f>E506*Assumptions!$B$7</f>
        <v/>
      </c>
      <c r="G506" s="9" t="n">
        <v>0.0559</v>
      </c>
      <c r="H506" t="inlineStr">
        <is>
          <t>Low</t>
        </is>
      </c>
      <c r="I506">
        <f>IF(G506&gt;=Assumptions!$B$4,"Yes","No")</f>
        <v/>
      </c>
      <c r="J506" s="8">
        <f>F506*Assumptions!$B$6</f>
        <v/>
      </c>
      <c r="K506" s="10">
        <f>G506*J506</f>
        <v/>
      </c>
      <c r="L506" s="10">
        <f>IF(I506="Yes",G506*Assumptions!$B$5*J506,0)</f>
        <v/>
      </c>
    </row>
    <row r="507">
      <c r="A507" t="n">
        <v>404</v>
      </c>
      <c r="B507" t="inlineStr">
        <is>
          <t>Sales</t>
        </is>
      </c>
      <c r="C507" t="inlineStr">
        <is>
          <t>Sales Executive</t>
        </is>
      </c>
      <c r="D507" t="inlineStr">
        <is>
          <t>No</t>
        </is>
      </c>
      <c r="E507" s="8" t="n">
        <v>13525</v>
      </c>
      <c r="F507" s="8">
        <f>E507*Assumptions!$B$7</f>
        <v/>
      </c>
      <c r="G507" s="9" t="n">
        <v>0.0559</v>
      </c>
      <c r="H507" t="inlineStr">
        <is>
          <t>Low</t>
        </is>
      </c>
      <c r="I507">
        <f>IF(G507&gt;=Assumptions!$B$4,"Yes","No")</f>
        <v/>
      </c>
      <c r="J507" s="8">
        <f>F507*Assumptions!$B$6</f>
        <v/>
      </c>
      <c r="K507" s="10">
        <f>G507*J507</f>
        <v/>
      </c>
      <c r="L507" s="10">
        <f>IF(I507="Yes",G507*Assumptions!$B$5*J507,0)</f>
        <v/>
      </c>
    </row>
    <row r="508">
      <c r="A508" t="n">
        <v>717</v>
      </c>
      <c r="B508" t="inlineStr">
        <is>
          <t>Research &amp; Development</t>
        </is>
      </c>
      <c r="C508" t="inlineStr">
        <is>
          <t>Healthcare Representative</t>
        </is>
      </c>
      <c r="D508" t="inlineStr">
        <is>
          <t>No</t>
        </is>
      </c>
      <c r="E508" s="8" t="n">
        <v>8621</v>
      </c>
      <c r="F508" s="8">
        <f>E508*Assumptions!$B$7</f>
        <v/>
      </c>
      <c r="G508" s="9" t="n">
        <v>0.0558</v>
      </c>
      <c r="H508" t="inlineStr">
        <is>
          <t>Low</t>
        </is>
      </c>
      <c r="I508">
        <f>IF(G508&gt;=Assumptions!$B$4,"Yes","No")</f>
        <v/>
      </c>
      <c r="J508" s="8">
        <f>F508*Assumptions!$B$6</f>
        <v/>
      </c>
      <c r="K508" s="10">
        <f>G508*J508</f>
        <v/>
      </c>
      <c r="L508" s="10">
        <f>IF(I508="Yes",G508*Assumptions!$B$5*J508,0)</f>
        <v/>
      </c>
    </row>
    <row r="509">
      <c r="A509" t="n">
        <v>84</v>
      </c>
      <c r="B509" t="inlineStr">
        <is>
          <t>Research &amp; Development</t>
        </is>
      </c>
      <c r="C509" t="inlineStr">
        <is>
          <t>Manager</t>
        </is>
      </c>
      <c r="D509" t="inlineStr">
        <is>
          <t>Yes</t>
        </is>
      </c>
      <c r="E509" s="8" t="n">
        <v>14756</v>
      </c>
      <c r="F509" s="8">
        <f>E509*Assumptions!$B$7</f>
        <v/>
      </c>
      <c r="G509" s="9" t="n">
        <v>0.0555</v>
      </c>
      <c r="H509" t="inlineStr">
        <is>
          <t>Low</t>
        </is>
      </c>
      <c r="I509">
        <f>IF(G509&gt;=Assumptions!$B$4,"Yes","No")</f>
        <v/>
      </c>
      <c r="J509" s="8">
        <f>F509*Assumptions!$B$6</f>
        <v/>
      </c>
      <c r="K509" s="10">
        <f>G509*J509</f>
        <v/>
      </c>
      <c r="L509" s="10">
        <f>IF(I509="Yes",G509*Assumptions!$B$5*J509,0)</f>
        <v/>
      </c>
    </row>
    <row r="510">
      <c r="A510" t="n">
        <v>1909</v>
      </c>
      <c r="B510" t="inlineStr">
        <is>
          <t>Sales</t>
        </is>
      </c>
      <c r="C510" t="inlineStr">
        <is>
          <t>Sales Executive</t>
        </is>
      </c>
      <c r="D510" t="inlineStr">
        <is>
          <t>No</t>
        </is>
      </c>
      <c r="E510" s="8" t="n">
        <v>4393</v>
      </c>
      <c r="F510" s="8">
        <f>E510*Assumptions!$B$7</f>
        <v/>
      </c>
      <c r="G510" s="9" t="n">
        <v>0.0552</v>
      </c>
      <c r="H510" t="inlineStr">
        <is>
          <t>Low</t>
        </is>
      </c>
      <c r="I510">
        <f>IF(G510&gt;=Assumptions!$B$4,"Yes","No")</f>
        <v/>
      </c>
      <c r="J510" s="8">
        <f>F510*Assumptions!$B$6</f>
        <v/>
      </c>
      <c r="K510" s="10">
        <f>G510*J510</f>
        <v/>
      </c>
      <c r="L510" s="10">
        <f>IF(I510="Yes",G510*Assumptions!$B$5*J510,0)</f>
        <v/>
      </c>
    </row>
    <row r="511">
      <c r="A511" t="n">
        <v>1550</v>
      </c>
      <c r="B511" t="inlineStr">
        <is>
          <t>Human Resources</t>
        </is>
      </c>
      <c r="C511" t="inlineStr">
        <is>
          <t>Manager</t>
        </is>
      </c>
      <c r="D511" t="inlineStr">
        <is>
          <t>Yes</t>
        </is>
      </c>
      <c r="E511" s="8" t="n">
        <v>16437</v>
      </c>
      <c r="F511" s="8">
        <f>E511*Assumptions!$B$7</f>
        <v/>
      </c>
      <c r="G511" s="9" t="n">
        <v>0.0552</v>
      </c>
      <c r="H511" t="inlineStr">
        <is>
          <t>Low</t>
        </is>
      </c>
      <c r="I511">
        <f>IF(G511&gt;=Assumptions!$B$4,"Yes","No")</f>
        <v/>
      </c>
      <c r="J511" s="8">
        <f>F511*Assumptions!$B$6</f>
        <v/>
      </c>
      <c r="K511" s="10">
        <f>G511*J511</f>
        <v/>
      </c>
      <c r="L511" s="10">
        <f>IF(I511="Yes",G511*Assumptions!$B$5*J511,0)</f>
        <v/>
      </c>
    </row>
    <row r="512">
      <c r="A512" t="n">
        <v>1548</v>
      </c>
      <c r="B512" t="inlineStr">
        <is>
          <t>Sales</t>
        </is>
      </c>
      <c r="C512" t="inlineStr">
        <is>
          <t>Sales Executive</t>
        </is>
      </c>
      <c r="D512" t="inlineStr">
        <is>
          <t>No</t>
        </is>
      </c>
      <c r="E512" s="8" t="n">
        <v>5473</v>
      </c>
      <c r="F512" s="8">
        <f>E512*Assumptions!$B$7</f>
        <v/>
      </c>
      <c r="G512" s="9" t="n">
        <v>0.0547</v>
      </c>
      <c r="H512" t="inlineStr">
        <is>
          <t>Low</t>
        </is>
      </c>
      <c r="I512">
        <f>IF(G512&gt;=Assumptions!$B$4,"Yes","No")</f>
        <v/>
      </c>
      <c r="J512" s="8">
        <f>F512*Assumptions!$B$6</f>
        <v/>
      </c>
      <c r="K512" s="10">
        <f>G512*J512</f>
        <v/>
      </c>
      <c r="L512" s="10">
        <f>IF(I512="Yes",G512*Assumptions!$B$5*J512,0)</f>
        <v/>
      </c>
    </row>
    <row r="513">
      <c r="A513" t="n">
        <v>211</v>
      </c>
      <c r="B513" t="inlineStr">
        <is>
          <t>Research &amp; Development</t>
        </is>
      </c>
      <c r="C513" t="inlineStr">
        <is>
          <t>Manufacturing Director</t>
        </is>
      </c>
      <c r="D513" t="inlineStr">
        <is>
          <t>No</t>
        </is>
      </c>
      <c r="E513" s="8" t="n">
        <v>6132</v>
      </c>
      <c r="F513" s="8">
        <f>E513*Assumptions!$B$7</f>
        <v/>
      </c>
      <c r="G513" s="9" t="n">
        <v>0.0545</v>
      </c>
      <c r="H513" t="inlineStr">
        <is>
          <t>Low</t>
        </is>
      </c>
      <c r="I513">
        <f>IF(G513&gt;=Assumptions!$B$4,"Yes","No")</f>
        <v/>
      </c>
      <c r="J513" s="8">
        <f>F513*Assumptions!$B$6</f>
        <v/>
      </c>
      <c r="K513" s="10">
        <f>G513*J513</f>
        <v/>
      </c>
      <c r="L513" s="10">
        <f>IF(I513="Yes",G513*Assumptions!$B$5*J513,0)</f>
        <v/>
      </c>
    </row>
    <row r="514">
      <c r="A514" t="n">
        <v>346</v>
      </c>
      <c r="B514" t="inlineStr">
        <is>
          <t>Research &amp; Development</t>
        </is>
      </c>
      <c r="C514" t="inlineStr">
        <is>
          <t>Research Scientist</t>
        </is>
      </c>
      <c r="D514" t="inlineStr">
        <is>
          <t>No</t>
        </is>
      </c>
      <c r="E514" s="8" t="n">
        <v>2340</v>
      </c>
      <c r="F514" s="8">
        <f>E514*Assumptions!$B$7</f>
        <v/>
      </c>
      <c r="G514" s="9" t="n">
        <v>0.0544</v>
      </c>
      <c r="H514" t="inlineStr">
        <is>
          <t>Low</t>
        </is>
      </c>
      <c r="I514">
        <f>IF(G514&gt;=Assumptions!$B$4,"Yes","No")</f>
        <v/>
      </c>
      <c r="J514" s="8">
        <f>F514*Assumptions!$B$6</f>
        <v/>
      </c>
      <c r="K514" s="10">
        <f>G514*J514</f>
        <v/>
      </c>
      <c r="L514" s="10">
        <f>IF(I514="Yes",G514*Assumptions!$B$5*J514,0)</f>
        <v/>
      </c>
    </row>
    <row r="515">
      <c r="A515" t="n">
        <v>754</v>
      </c>
      <c r="B515" t="inlineStr">
        <is>
          <t>Sales</t>
        </is>
      </c>
      <c r="C515" t="inlineStr">
        <is>
          <t>Sales Executive</t>
        </is>
      </c>
      <c r="D515" t="inlineStr">
        <is>
          <t>No</t>
        </is>
      </c>
      <c r="E515" s="8" t="n">
        <v>6804</v>
      </c>
      <c r="F515" s="8">
        <f>E515*Assumptions!$B$7</f>
        <v/>
      </c>
      <c r="G515" s="9" t="n">
        <v>0.0543</v>
      </c>
      <c r="H515" t="inlineStr">
        <is>
          <t>Low</t>
        </is>
      </c>
      <c r="I515">
        <f>IF(G515&gt;=Assumptions!$B$4,"Yes","No")</f>
        <v/>
      </c>
      <c r="J515" s="8">
        <f>F515*Assumptions!$B$6</f>
        <v/>
      </c>
      <c r="K515" s="10">
        <f>G515*J515</f>
        <v/>
      </c>
      <c r="L515" s="10">
        <f>IF(I515="Yes",G515*Assumptions!$B$5*J515,0)</f>
        <v/>
      </c>
    </row>
    <row r="516">
      <c r="A516" t="n">
        <v>2</v>
      </c>
      <c r="B516" t="inlineStr">
        <is>
          <t>Research &amp; Development</t>
        </is>
      </c>
      <c r="C516" t="inlineStr">
        <is>
          <t>Research Scientist</t>
        </is>
      </c>
      <c r="D516" t="inlineStr">
        <is>
          <t>No</t>
        </is>
      </c>
      <c r="E516" s="8" t="n">
        <v>5130</v>
      </c>
      <c r="F516" s="8">
        <f>E516*Assumptions!$B$7</f>
        <v/>
      </c>
      <c r="G516" s="9" t="n">
        <v>0.054</v>
      </c>
      <c r="H516" t="inlineStr">
        <is>
          <t>Low</t>
        </is>
      </c>
      <c r="I516">
        <f>IF(G516&gt;=Assumptions!$B$4,"Yes","No")</f>
        <v/>
      </c>
      <c r="J516" s="8">
        <f>F516*Assumptions!$B$6</f>
        <v/>
      </c>
      <c r="K516" s="10">
        <f>G516*J516</f>
        <v/>
      </c>
      <c r="L516" s="10">
        <f>IF(I516="Yes",G516*Assumptions!$B$5*J516,0)</f>
        <v/>
      </c>
    </row>
    <row r="517">
      <c r="A517" t="n">
        <v>1812</v>
      </c>
      <c r="B517" t="inlineStr">
        <is>
          <t>Sales</t>
        </is>
      </c>
      <c r="C517" t="inlineStr">
        <is>
          <t>Sales Executive</t>
        </is>
      </c>
      <c r="D517" t="inlineStr">
        <is>
          <t>No</t>
        </is>
      </c>
      <c r="E517" s="8" t="n">
        <v>4127</v>
      </c>
      <c r="F517" s="8">
        <f>E517*Assumptions!$B$7</f>
        <v/>
      </c>
      <c r="G517" s="9" t="n">
        <v>0.0539</v>
      </c>
      <c r="H517" t="inlineStr">
        <is>
          <t>Low</t>
        </is>
      </c>
      <c r="I517">
        <f>IF(G517&gt;=Assumptions!$B$4,"Yes","No")</f>
        <v/>
      </c>
      <c r="J517" s="8">
        <f>F517*Assumptions!$B$6</f>
        <v/>
      </c>
      <c r="K517" s="10">
        <f>G517*J517</f>
        <v/>
      </c>
      <c r="L517" s="10">
        <f>IF(I517="Yes",G517*Assumptions!$B$5*J517,0)</f>
        <v/>
      </c>
    </row>
    <row r="518">
      <c r="A518" t="n">
        <v>15</v>
      </c>
      <c r="B518" t="inlineStr">
        <is>
          <t>Research &amp; Development</t>
        </is>
      </c>
      <c r="C518" t="inlineStr">
        <is>
          <t>Laboratory Technician</t>
        </is>
      </c>
      <c r="D518" t="inlineStr">
        <is>
          <t>Yes</t>
        </is>
      </c>
      <c r="E518" s="8" t="n">
        <v>4193</v>
      </c>
      <c r="F518" s="8">
        <f>E518*Assumptions!$B$7</f>
        <v/>
      </c>
      <c r="G518" s="9" t="n">
        <v>0.0537</v>
      </c>
      <c r="H518" t="inlineStr">
        <is>
          <t>Low</t>
        </is>
      </c>
      <c r="I518">
        <f>IF(G518&gt;=Assumptions!$B$4,"Yes","No")</f>
        <v/>
      </c>
      <c r="J518" s="8">
        <f>F518*Assumptions!$B$6</f>
        <v/>
      </c>
      <c r="K518" s="10">
        <f>G518*J518</f>
        <v/>
      </c>
      <c r="L518" s="10">
        <f>IF(I518="Yes",G518*Assumptions!$B$5*J518,0)</f>
        <v/>
      </c>
    </row>
    <row r="519">
      <c r="A519" t="n">
        <v>1553</v>
      </c>
      <c r="B519" t="inlineStr">
        <is>
          <t>Research &amp; Development</t>
        </is>
      </c>
      <c r="C519" t="inlineStr">
        <is>
          <t>Healthcare Representative</t>
        </is>
      </c>
      <c r="D519" t="inlineStr">
        <is>
          <t>No</t>
        </is>
      </c>
      <c r="E519" s="8" t="n">
        <v>7441</v>
      </c>
      <c r="F519" s="8">
        <f>E519*Assumptions!$B$7</f>
        <v/>
      </c>
      <c r="G519" s="9" t="n">
        <v>0.0532</v>
      </c>
      <c r="H519" t="inlineStr">
        <is>
          <t>Low</t>
        </is>
      </c>
      <c r="I519">
        <f>IF(G519&gt;=Assumptions!$B$4,"Yes","No")</f>
        <v/>
      </c>
      <c r="J519" s="8">
        <f>F519*Assumptions!$B$6</f>
        <v/>
      </c>
      <c r="K519" s="10">
        <f>G519*J519</f>
        <v/>
      </c>
      <c r="L519" s="10">
        <f>IF(I519="Yes",G519*Assumptions!$B$5*J519,0)</f>
        <v/>
      </c>
    </row>
    <row r="520">
      <c r="A520" t="n">
        <v>874</v>
      </c>
      <c r="B520" t="inlineStr">
        <is>
          <t>Research &amp; Development</t>
        </is>
      </c>
      <c r="C520" t="inlineStr">
        <is>
          <t>Laboratory Technician</t>
        </is>
      </c>
      <c r="D520" t="inlineStr">
        <is>
          <t>Yes</t>
        </is>
      </c>
      <c r="E520" s="8" t="n">
        <v>2818</v>
      </c>
      <c r="F520" s="8">
        <f>E520*Assumptions!$B$7</f>
        <v/>
      </c>
      <c r="G520" s="9" t="n">
        <v>0.0531</v>
      </c>
      <c r="H520" t="inlineStr">
        <is>
          <t>Low</t>
        </is>
      </c>
      <c r="I520">
        <f>IF(G520&gt;=Assumptions!$B$4,"Yes","No")</f>
        <v/>
      </c>
      <c r="J520" s="8">
        <f>F520*Assumptions!$B$6</f>
        <v/>
      </c>
      <c r="K520" s="10">
        <f>G520*J520</f>
        <v/>
      </c>
      <c r="L520" s="10">
        <f>IF(I520="Yes",G520*Assumptions!$B$5*J520,0)</f>
        <v/>
      </c>
    </row>
    <row r="521">
      <c r="A521" t="n">
        <v>217</v>
      </c>
      <c r="B521" t="inlineStr">
        <is>
          <t>Research &amp; Development</t>
        </is>
      </c>
      <c r="C521" t="inlineStr">
        <is>
          <t>Research Scientist</t>
        </is>
      </c>
      <c r="D521" t="inlineStr">
        <is>
          <t>No</t>
        </is>
      </c>
      <c r="E521" s="8" t="n">
        <v>2323</v>
      </c>
      <c r="F521" s="8">
        <f>E521*Assumptions!$B$7</f>
        <v/>
      </c>
      <c r="G521" s="9" t="n">
        <v>0.0531</v>
      </c>
      <c r="H521" t="inlineStr">
        <is>
          <t>Low</t>
        </is>
      </c>
      <c r="I521">
        <f>IF(G521&gt;=Assumptions!$B$4,"Yes","No")</f>
        <v/>
      </c>
      <c r="J521" s="8">
        <f>F521*Assumptions!$B$6</f>
        <v/>
      </c>
      <c r="K521" s="10">
        <f>G521*J521</f>
        <v/>
      </c>
      <c r="L521" s="10">
        <f>IF(I521="Yes",G521*Assumptions!$B$5*J521,0)</f>
        <v/>
      </c>
    </row>
    <row r="522">
      <c r="A522" t="n">
        <v>431</v>
      </c>
      <c r="B522" t="inlineStr">
        <is>
          <t>Research &amp; Development</t>
        </is>
      </c>
      <c r="C522" t="inlineStr">
        <is>
          <t>Healthcare Representative</t>
        </is>
      </c>
      <c r="D522" t="inlineStr">
        <is>
          <t>Yes</t>
        </is>
      </c>
      <c r="E522" s="8" t="n">
        <v>13964</v>
      </c>
      <c r="F522" s="8">
        <f>E522*Assumptions!$B$7</f>
        <v/>
      </c>
      <c r="G522" s="9" t="n">
        <v>0.0528</v>
      </c>
      <c r="H522" t="inlineStr">
        <is>
          <t>Low</t>
        </is>
      </c>
      <c r="I522">
        <f>IF(G522&gt;=Assumptions!$B$4,"Yes","No")</f>
        <v/>
      </c>
      <c r="J522" s="8">
        <f>F522*Assumptions!$B$6</f>
        <v/>
      </c>
      <c r="K522" s="10">
        <f>G522*J522</f>
        <v/>
      </c>
      <c r="L522" s="10">
        <f>IF(I522="Yes",G522*Assumptions!$B$5*J522,0)</f>
        <v/>
      </c>
    </row>
    <row r="523">
      <c r="A523" t="n">
        <v>1731</v>
      </c>
      <c r="B523" t="inlineStr">
        <is>
          <t>Sales</t>
        </is>
      </c>
      <c r="C523" t="inlineStr">
        <is>
          <t>Sales Executive</t>
        </is>
      </c>
      <c r="D523" t="inlineStr">
        <is>
          <t>No</t>
        </is>
      </c>
      <c r="E523" s="8" t="n">
        <v>4978</v>
      </c>
      <c r="F523" s="8">
        <f>E523*Assumptions!$B$7</f>
        <v/>
      </c>
      <c r="G523" s="9" t="n">
        <v>0.0527</v>
      </c>
      <c r="H523" t="inlineStr">
        <is>
          <t>Low</t>
        </is>
      </c>
      <c r="I523">
        <f>IF(G523&gt;=Assumptions!$B$4,"Yes","No")</f>
        <v/>
      </c>
      <c r="J523" s="8">
        <f>F523*Assumptions!$B$6</f>
        <v/>
      </c>
      <c r="K523" s="10">
        <f>G523*J523</f>
        <v/>
      </c>
      <c r="L523" s="10">
        <f>IF(I523="Yes",G523*Assumptions!$B$5*J523,0)</f>
        <v/>
      </c>
    </row>
    <row r="524">
      <c r="A524" t="n">
        <v>5</v>
      </c>
      <c r="B524" t="inlineStr">
        <is>
          <t>Research &amp; Development</t>
        </is>
      </c>
      <c r="C524" t="inlineStr">
        <is>
          <t>Research Scientist</t>
        </is>
      </c>
      <c r="D524" t="inlineStr">
        <is>
          <t>Yes</t>
        </is>
      </c>
      <c r="E524" s="8" t="n">
        <v>2909</v>
      </c>
      <c r="F524" s="8">
        <f>E524*Assumptions!$B$7</f>
        <v/>
      </c>
      <c r="G524" s="9" t="n">
        <v>0.0527</v>
      </c>
      <c r="H524" t="inlineStr">
        <is>
          <t>Low</t>
        </is>
      </c>
      <c r="I524">
        <f>IF(G524&gt;=Assumptions!$B$4,"Yes","No")</f>
        <v/>
      </c>
      <c r="J524" s="8">
        <f>F524*Assumptions!$B$6</f>
        <v/>
      </c>
      <c r="K524" s="10">
        <f>G524*J524</f>
        <v/>
      </c>
      <c r="L524" s="10">
        <f>IF(I524="Yes",G524*Assumptions!$B$5*J524,0)</f>
        <v/>
      </c>
    </row>
    <row r="525">
      <c r="A525" t="n">
        <v>131</v>
      </c>
      <c r="B525" t="inlineStr">
        <is>
          <t>Sales</t>
        </is>
      </c>
      <c r="C525" t="inlineStr">
        <is>
          <t>Sales Executive</t>
        </is>
      </c>
      <c r="D525" t="inlineStr">
        <is>
          <t>No</t>
        </is>
      </c>
      <c r="E525" s="8" t="n">
        <v>13872</v>
      </c>
      <c r="F525" s="8">
        <f>E525*Assumptions!$B$7</f>
        <v/>
      </c>
      <c r="G525" s="9" t="n">
        <v>0.0526</v>
      </c>
      <c r="H525" t="inlineStr">
        <is>
          <t>Low</t>
        </is>
      </c>
      <c r="I525">
        <f>IF(G525&gt;=Assumptions!$B$4,"Yes","No")</f>
        <v/>
      </c>
      <c r="J525" s="8">
        <f>F525*Assumptions!$B$6</f>
        <v/>
      </c>
      <c r="K525" s="10">
        <f>G525*J525</f>
        <v/>
      </c>
      <c r="L525" s="10">
        <f>IF(I525="Yes",G525*Assumptions!$B$5*J525,0)</f>
        <v/>
      </c>
    </row>
    <row r="526">
      <c r="A526" t="n">
        <v>1790</v>
      </c>
      <c r="B526" t="inlineStr">
        <is>
          <t>Research &amp; Development</t>
        </is>
      </c>
      <c r="C526" t="inlineStr">
        <is>
          <t>Healthcare Representative</t>
        </is>
      </c>
      <c r="D526" t="inlineStr">
        <is>
          <t>Yes</t>
        </is>
      </c>
      <c r="E526" s="8" t="n">
        <v>8321</v>
      </c>
      <c r="F526" s="8">
        <f>E526*Assumptions!$B$7</f>
        <v/>
      </c>
      <c r="G526" s="9" t="n">
        <v>0.0525</v>
      </c>
      <c r="H526" t="inlineStr">
        <is>
          <t>Low</t>
        </is>
      </c>
      <c r="I526">
        <f>IF(G526&gt;=Assumptions!$B$4,"Yes","No")</f>
        <v/>
      </c>
      <c r="J526" s="8">
        <f>F526*Assumptions!$B$6</f>
        <v/>
      </c>
      <c r="K526" s="10">
        <f>G526*J526</f>
        <v/>
      </c>
      <c r="L526" s="10">
        <f>IF(I526="Yes",G526*Assumptions!$B$5*J526,0)</f>
        <v/>
      </c>
    </row>
    <row r="527">
      <c r="A527" t="n">
        <v>1480</v>
      </c>
      <c r="B527" t="inlineStr">
        <is>
          <t>Research &amp; Development</t>
        </is>
      </c>
      <c r="C527" t="inlineStr">
        <is>
          <t>Laboratory Technician</t>
        </is>
      </c>
      <c r="D527" t="inlineStr">
        <is>
          <t>No</t>
        </is>
      </c>
      <c r="E527" s="8" t="n">
        <v>3673</v>
      </c>
      <c r="F527" s="8">
        <f>E527*Assumptions!$B$7</f>
        <v/>
      </c>
      <c r="G527" s="9" t="n">
        <v>0.0524</v>
      </c>
      <c r="H527" t="inlineStr">
        <is>
          <t>Low</t>
        </is>
      </c>
      <c r="I527">
        <f>IF(G527&gt;=Assumptions!$B$4,"Yes","No")</f>
        <v/>
      </c>
      <c r="J527" s="8">
        <f>F527*Assumptions!$B$6</f>
        <v/>
      </c>
      <c r="K527" s="10">
        <f>G527*J527</f>
        <v/>
      </c>
      <c r="L527" s="10">
        <f>IF(I527="Yes",G527*Assumptions!$B$5*J527,0)</f>
        <v/>
      </c>
    </row>
    <row r="528">
      <c r="A528" t="n">
        <v>1161</v>
      </c>
      <c r="B528" t="inlineStr">
        <is>
          <t>Research &amp; Development</t>
        </is>
      </c>
      <c r="C528" t="inlineStr">
        <is>
          <t>Healthcare Representative</t>
        </is>
      </c>
      <c r="D528" t="inlineStr">
        <is>
          <t>No</t>
        </is>
      </c>
      <c r="E528" s="8" t="n">
        <v>5731</v>
      </c>
      <c r="F528" s="8">
        <f>E528*Assumptions!$B$7</f>
        <v/>
      </c>
      <c r="G528" s="9" t="n">
        <v>0.0524</v>
      </c>
      <c r="H528" t="inlineStr">
        <is>
          <t>Low</t>
        </is>
      </c>
      <c r="I528">
        <f>IF(G528&gt;=Assumptions!$B$4,"Yes","No")</f>
        <v/>
      </c>
      <c r="J528" s="8">
        <f>F528*Assumptions!$B$6</f>
        <v/>
      </c>
      <c r="K528" s="10">
        <f>G528*J528</f>
        <v/>
      </c>
      <c r="L528" s="10">
        <f>IF(I528="Yes",G528*Assumptions!$B$5*J528,0)</f>
        <v/>
      </c>
    </row>
    <row r="529">
      <c r="A529" t="n">
        <v>1503</v>
      </c>
      <c r="B529" t="inlineStr">
        <is>
          <t>Sales</t>
        </is>
      </c>
      <c r="C529" t="inlineStr">
        <is>
          <t>Sales Executive</t>
        </is>
      </c>
      <c r="D529" t="inlineStr">
        <is>
          <t>Yes</t>
        </is>
      </c>
      <c r="E529" s="8" t="n">
        <v>4591</v>
      </c>
      <c r="F529" s="8">
        <f>E529*Assumptions!$B$7</f>
        <v/>
      </c>
      <c r="G529" s="9" t="n">
        <v>0.0522</v>
      </c>
      <c r="H529" t="inlineStr">
        <is>
          <t>Low</t>
        </is>
      </c>
      <c r="I529">
        <f>IF(G529&gt;=Assumptions!$B$4,"Yes","No")</f>
        <v/>
      </c>
      <c r="J529" s="8">
        <f>F529*Assumptions!$B$6</f>
        <v/>
      </c>
      <c r="K529" s="10">
        <f>G529*J529</f>
        <v/>
      </c>
      <c r="L529" s="10">
        <f>IF(I529="Yes",G529*Assumptions!$B$5*J529,0)</f>
        <v/>
      </c>
    </row>
    <row r="530">
      <c r="A530" t="n">
        <v>495</v>
      </c>
      <c r="B530" t="inlineStr">
        <is>
          <t>Research &amp; Development</t>
        </is>
      </c>
      <c r="C530" t="inlineStr">
        <is>
          <t>Research Scientist</t>
        </is>
      </c>
      <c r="D530" t="inlineStr">
        <is>
          <t>No</t>
        </is>
      </c>
      <c r="E530" s="8" t="n">
        <v>2201</v>
      </c>
      <c r="F530" s="8">
        <f>E530*Assumptions!$B$7</f>
        <v/>
      </c>
      <c r="G530" s="9" t="n">
        <v>0.0521</v>
      </c>
      <c r="H530" t="inlineStr">
        <is>
          <t>Low</t>
        </is>
      </c>
      <c r="I530">
        <f>IF(G530&gt;=Assumptions!$B$4,"Yes","No")</f>
        <v/>
      </c>
      <c r="J530" s="8">
        <f>F530*Assumptions!$B$6</f>
        <v/>
      </c>
      <c r="K530" s="10">
        <f>G530*J530</f>
        <v/>
      </c>
      <c r="L530" s="10">
        <f>IF(I530="Yes",G530*Assumptions!$B$5*J530,0)</f>
        <v/>
      </c>
    </row>
    <row r="531">
      <c r="A531" t="n">
        <v>1257</v>
      </c>
      <c r="B531" t="inlineStr">
        <is>
          <t>Research &amp; Development</t>
        </is>
      </c>
      <c r="C531" t="inlineStr">
        <is>
          <t>Research Scientist</t>
        </is>
      </c>
      <c r="D531" t="inlineStr">
        <is>
          <t>No</t>
        </is>
      </c>
      <c r="E531" s="8" t="n">
        <v>3692</v>
      </c>
      <c r="F531" s="8">
        <f>E531*Assumptions!$B$7</f>
        <v/>
      </c>
      <c r="G531" s="9" t="n">
        <v>0.0521</v>
      </c>
      <c r="H531" t="inlineStr">
        <is>
          <t>Low</t>
        </is>
      </c>
      <c r="I531">
        <f>IF(G531&gt;=Assumptions!$B$4,"Yes","No")</f>
        <v/>
      </c>
      <c r="J531" s="8">
        <f>F531*Assumptions!$B$6</f>
        <v/>
      </c>
      <c r="K531" s="10">
        <f>G531*J531</f>
        <v/>
      </c>
      <c r="L531" s="10">
        <f>IF(I531="Yes",G531*Assumptions!$B$5*J531,0)</f>
        <v/>
      </c>
    </row>
    <row r="532">
      <c r="A532" t="n">
        <v>1943</v>
      </c>
      <c r="B532" t="inlineStr">
        <is>
          <t>Sales</t>
        </is>
      </c>
      <c r="C532" t="inlineStr">
        <is>
          <t>Sales Executive</t>
        </is>
      </c>
      <c r="D532" t="inlineStr">
        <is>
          <t>Yes</t>
        </is>
      </c>
      <c r="E532" s="8" t="n">
        <v>5087</v>
      </c>
      <c r="F532" s="8">
        <f>E532*Assumptions!$B$7</f>
        <v/>
      </c>
      <c r="G532" s="9" t="n">
        <v>0.0519</v>
      </c>
      <c r="H532" t="inlineStr">
        <is>
          <t>Low</t>
        </is>
      </c>
      <c r="I532">
        <f>IF(G532&gt;=Assumptions!$B$4,"Yes","No")</f>
        <v/>
      </c>
      <c r="J532" s="8">
        <f>F532*Assumptions!$B$6</f>
        <v/>
      </c>
      <c r="K532" s="10">
        <f>G532*J532</f>
        <v/>
      </c>
      <c r="L532" s="10">
        <f>IF(I532="Yes",G532*Assumptions!$B$5*J532,0)</f>
        <v/>
      </c>
    </row>
    <row r="533">
      <c r="A533" t="n">
        <v>786</v>
      </c>
      <c r="B533" t="inlineStr">
        <is>
          <t>Sales</t>
        </is>
      </c>
      <c r="C533" t="inlineStr">
        <is>
          <t>Sales Executive</t>
        </is>
      </c>
      <c r="D533" t="inlineStr">
        <is>
          <t>No</t>
        </is>
      </c>
      <c r="E533" s="8" t="n">
        <v>6274</v>
      </c>
      <c r="F533" s="8">
        <f>E533*Assumptions!$B$7</f>
        <v/>
      </c>
      <c r="G533" s="9" t="n">
        <v>0.0516</v>
      </c>
      <c r="H533" t="inlineStr">
        <is>
          <t>Low</t>
        </is>
      </c>
      <c r="I533">
        <f>IF(G533&gt;=Assumptions!$B$4,"Yes","No")</f>
        <v/>
      </c>
      <c r="J533" s="8">
        <f>F533*Assumptions!$B$6</f>
        <v/>
      </c>
      <c r="K533" s="10">
        <f>G533*J533</f>
        <v/>
      </c>
      <c r="L533" s="10">
        <f>IF(I533="Yes",G533*Assumptions!$B$5*J533,0)</f>
        <v/>
      </c>
    </row>
    <row r="534">
      <c r="A534" t="n">
        <v>1936</v>
      </c>
      <c r="B534" t="inlineStr">
        <is>
          <t>Research &amp; Development</t>
        </is>
      </c>
      <c r="C534" t="inlineStr">
        <is>
          <t>Manufacturing Director</t>
        </is>
      </c>
      <c r="D534" t="inlineStr">
        <is>
          <t>No</t>
        </is>
      </c>
      <c r="E534" s="8" t="n">
        <v>5151</v>
      </c>
      <c r="F534" s="8">
        <f>E534*Assumptions!$B$7</f>
        <v/>
      </c>
      <c r="G534" s="9" t="n">
        <v>0.0514</v>
      </c>
      <c r="H534" t="inlineStr">
        <is>
          <t>Low</t>
        </is>
      </c>
      <c r="I534">
        <f>IF(G534&gt;=Assumptions!$B$4,"Yes","No")</f>
        <v/>
      </c>
      <c r="J534" s="8">
        <f>F534*Assumptions!$B$6</f>
        <v/>
      </c>
      <c r="K534" s="10">
        <f>G534*J534</f>
        <v/>
      </c>
      <c r="L534" s="10">
        <f>IF(I534="Yes",G534*Assumptions!$B$5*J534,0)</f>
        <v/>
      </c>
    </row>
    <row r="535">
      <c r="A535" t="n">
        <v>192</v>
      </c>
      <c r="B535" t="inlineStr">
        <is>
          <t>Research &amp; Development</t>
        </is>
      </c>
      <c r="C535" t="inlineStr">
        <is>
          <t>Research Scientist</t>
        </is>
      </c>
      <c r="D535" t="inlineStr">
        <is>
          <t>No</t>
        </is>
      </c>
      <c r="E535" s="8" t="n">
        <v>3452</v>
      </c>
      <c r="F535" s="8">
        <f>E535*Assumptions!$B$7</f>
        <v/>
      </c>
      <c r="G535" s="9" t="n">
        <v>0.0511</v>
      </c>
      <c r="H535" t="inlineStr">
        <is>
          <t>Low</t>
        </is>
      </c>
      <c r="I535">
        <f>IF(G535&gt;=Assumptions!$B$4,"Yes","No")</f>
        <v/>
      </c>
      <c r="J535" s="8">
        <f>F535*Assumptions!$B$6</f>
        <v/>
      </c>
      <c r="K535" s="10">
        <f>G535*J535</f>
        <v/>
      </c>
      <c r="L535" s="10">
        <f>IF(I535="Yes",G535*Assumptions!$B$5*J535,0)</f>
        <v/>
      </c>
    </row>
    <row r="536">
      <c r="A536" t="n">
        <v>1285</v>
      </c>
      <c r="B536" t="inlineStr">
        <is>
          <t>Research &amp; Development</t>
        </is>
      </c>
      <c r="C536" t="inlineStr">
        <is>
          <t>Laboratory Technician</t>
        </is>
      </c>
      <c r="D536" t="inlineStr">
        <is>
          <t>No</t>
        </is>
      </c>
      <c r="E536" s="8" t="n">
        <v>4444</v>
      </c>
      <c r="F536" s="8">
        <f>E536*Assumptions!$B$7</f>
        <v/>
      </c>
      <c r="G536" s="9" t="n">
        <v>0.0511</v>
      </c>
      <c r="H536" t="inlineStr">
        <is>
          <t>Low</t>
        </is>
      </c>
      <c r="I536">
        <f>IF(G536&gt;=Assumptions!$B$4,"Yes","No")</f>
        <v/>
      </c>
      <c r="J536" s="8">
        <f>F536*Assumptions!$B$6</f>
        <v/>
      </c>
      <c r="K536" s="10">
        <f>G536*J536</f>
        <v/>
      </c>
      <c r="L536" s="10">
        <f>IF(I536="Yes",G536*Assumptions!$B$5*J536,0)</f>
        <v/>
      </c>
    </row>
    <row r="537">
      <c r="A537" t="n">
        <v>227</v>
      </c>
      <c r="B537" t="inlineStr">
        <is>
          <t>Research &amp; Development</t>
        </is>
      </c>
      <c r="C537" t="inlineStr">
        <is>
          <t>Research Scientist</t>
        </is>
      </c>
      <c r="D537" t="inlineStr">
        <is>
          <t>No</t>
        </is>
      </c>
      <c r="E537" s="8" t="n">
        <v>2451</v>
      </c>
      <c r="F537" s="8">
        <f>E537*Assumptions!$B$7</f>
        <v/>
      </c>
      <c r="G537" s="9" t="n">
        <v>0.051</v>
      </c>
      <c r="H537" t="inlineStr">
        <is>
          <t>Low</t>
        </is>
      </c>
      <c r="I537">
        <f>IF(G537&gt;=Assumptions!$B$4,"Yes","No")</f>
        <v/>
      </c>
      <c r="J537" s="8">
        <f>F537*Assumptions!$B$6</f>
        <v/>
      </c>
      <c r="K537" s="10">
        <f>G537*J537</f>
        <v/>
      </c>
      <c r="L537" s="10">
        <f>IF(I537="Yes",G537*Assumptions!$B$5*J537,0)</f>
        <v/>
      </c>
    </row>
    <row r="538">
      <c r="A538" t="n">
        <v>1698</v>
      </c>
      <c r="B538" t="inlineStr">
        <is>
          <t>Research &amp; Development</t>
        </is>
      </c>
      <c r="C538" t="inlineStr">
        <is>
          <t>Laboratory Technician</t>
        </is>
      </c>
      <c r="D538" t="inlineStr">
        <is>
          <t>No</t>
        </is>
      </c>
      <c r="E538" s="8" t="n">
        <v>2028</v>
      </c>
      <c r="F538" s="8">
        <f>E538*Assumptions!$B$7</f>
        <v/>
      </c>
      <c r="G538" s="9" t="n">
        <v>0.0509</v>
      </c>
      <c r="H538" t="inlineStr">
        <is>
          <t>Low</t>
        </is>
      </c>
      <c r="I538">
        <f>IF(G538&gt;=Assumptions!$B$4,"Yes","No")</f>
        <v/>
      </c>
      <c r="J538" s="8">
        <f>F538*Assumptions!$B$6</f>
        <v/>
      </c>
      <c r="K538" s="10">
        <f>G538*J538</f>
        <v/>
      </c>
      <c r="L538" s="10">
        <f>IF(I538="Yes",G538*Assumptions!$B$5*J538,0)</f>
        <v/>
      </c>
    </row>
    <row r="539">
      <c r="A539" t="n">
        <v>690</v>
      </c>
      <c r="B539" t="inlineStr">
        <is>
          <t>Sales</t>
        </is>
      </c>
      <c r="C539" t="inlineStr">
        <is>
          <t>Sales Executive</t>
        </is>
      </c>
      <c r="D539" t="inlineStr">
        <is>
          <t>No</t>
        </is>
      </c>
      <c r="E539" s="8" t="n">
        <v>5561</v>
      </c>
      <c r="F539" s="8">
        <f>E539*Assumptions!$B$7</f>
        <v/>
      </c>
      <c r="G539" s="9" t="n">
        <v>0.0509</v>
      </c>
      <c r="H539" t="inlineStr">
        <is>
          <t>Low</t>
        </is>
      </c>
      <c r="I539">
        <f>IF(G539&gt;=Assumptions!$B$4,"Yes","No")</f>
        <v/>
      </c>
      <c r="J539" s="8">
        <f>F539*Assumptions!$B$6</f>
        <v/>
      </c>
      <c r="K539" s="10">
        <f>G539*J539</f>
        <v/>
      </c>
      <c r="L539" s="10">
        <f>IF(I539="Yes",G539*Assumptions!$B$5*J539,0)</f>
        <v/>
      </c>
    </row>
    <row r="540">
      <c r="A540" t="n">
        <v>2038</v>
      </c>
      <c r="B540" t="inlineStr">
        <is>
          <t>Research &amp; Development</t>
        </is>
      </c>
      <c r="C540" t="inlineStr">
        <is>
          <t>Research Scientist</t>
        </is>
      </c>
      <c r="D540" t="inlineStr">
        <is>
          <t>No</t>
        </is>
      </c>
      <c r="E540" s="8" t="n">
        <v>2439</v>
      </c>
      <c r="F540" s="8">
        <f>E540*Assumptions!$B$7</f>
        <v/>
      </c>
      <c r="G540" s="9" t="n">
        <v>0.0507</v>
      </c>
      <c r="H540" t="inlineStr">
        <is>
          <t>Low</t>
        </is>
      </c>
      <c r="I540">
        <f>IF(G540&gt;=Assumptions!$B$4,"Yes","No")</f>
        <v/>
      </c>
      <c r="J540" s="8">
        <f>F540*Assumptions!$B$6</f>
        <v/>
      </c>
      <c r="K540" s="10">
        <f>G540*J540</f>
        <v/>
      </c>
      <c r="L540" s="10">
        <f>IF(I540="Yes",G540*Assumptions!$B$5*J540,0)</f>
        <v/>
      </c>
    </row>
    <row r="541">
      <c r="A541" t="n">
        <v>1281</v>
      </c>
      <c r="B541" t="inlineStr">
        <is>
          <t>Sales</t>
        </is>
      </c>
      <c r="C541" t="inlineStr">
        <is>
          <t>Sales Executive</t>
        </is>
      </c>
      <c r="D541" t="inlineStr">
        <is>
          <t>Yes</t>
        </is>
      </c>
      <c r="E541" s="8" t="n">
        <v>4538</v>
      </c>
      <c r="F541" s="8">
        <f>E541*Assumptions!$B$7</f>
        <v/>
      </c>
      <c r="G541" s="9" t="n">
        <v>0.0507</v>
      </c>
      <c r="H541" t="inlineStr">
        <is>
          <t>Low</t>
        </is>
      </c>
      <c r="I541">
        <f>IF(G541&gt;=Assumptions!$B$4,"Yes","No")</f>
        <v/>
      </c>
      <c r="J541" s="8">
        <f>F541*Assumptions!$B$6</f>
        <v/>
      </c>
      <c r="K541" s="10">
        <f>G541*J541</f>
        <v/>
      </c>
      <c r="L541" s="10">
        <f>IF(I541="Yes",G541*Assumptions!$B$5*J541,0)</f>
        <v/>
      </c>
    </row>
    <row r="542">
      <c r="A542" t="n">
        <v>689</v>
      </c>
      <c r="B542" t="inlineStr">
        <is>
          <t>Research &amp; Development</t>
        </is>
      </c>
      <c r="C542" t="inlineStr">
        <is>
          <t>Manufacturing Director</t>
        </is>
      </c>
      <c r="D542" t="inlineStr">
        <is>
          <t>No</t>
        </is>
      </c>
      <c r="E542" s="8" t="n">
        <v>9434</v>
      </c>
      <c r="F542" s="8">
        <f>E542*Assumptions!$B$7</f>
        <v/>
      </c>
      <c r="G542" s="9" t="n">
        <v>0.0506</v>
      </c>
      <c r="H542" t="inlineStr">
        <is>
          <t>Low</t>
        </is>
      </c>
      <c r="I542">
        <f>IF(G542&gt;=Assumptions!$B$4,"Yes","No")</f>
        <v/>
      </c>
      <c r="J542" s="8">
        <f>F542*Assumptions!$B$6</f>
        <v/>
      </c>
      <c r="K542" s="10">
        <f>G542*J542</f>
        <v/>
      </c>
      <c r="L542" s="10">
        <f>IF(I542="Yes",G542*Assumptions!$B$5*J542,0)</f>
        <v/>
      </c>
    </row>
    <row r="543">
      <c r="A543" t="n">
        <v>1289</v>
      </c>
      <c r="B543" t="inlineStr">
        <is>
          <t>Human Resources</t>
        </is>
      </c>
      <c r="C543" t="inlineStr">
        <is>
          <t>Human Resources</t>
        </is>
      </c>
      <c r="D543" t="inlineStr">
        <is>
          <t>No</t>
        </is>
      </c>
      <c r="E543" s="8" t="n">
        <v>4490</v>
      </c>
      <c r="F543" s="8">
        <f>E543*Assumptions!$B$7</f>
        <v/>
      </c>
      <c r="G543" s="9" t="n">
        <v>0.0505</v>
      </c>
      <c r="H543" t="inlineStr">
        <is>
          <t>Low</t>
        </is>
      </c>
      <c r="I543">
        <f>IF(G543&gt;=Assumptions!$B$4,"Yes","No")</f>
        <v/>
      </c>
      <c r="J543" s="8">
        <f>F543*Assumptions!$B$6</f>
        <v/>
      </c>
      <c r="K543" s="10">
        <f>G543*J543</f>
        <v/>
      </c>
      <c r="L543" s="10">
        <f>IF(I543="Yes",G543*Assumptions!$B$5*J543,0)</f>
        <v/>
      </c>
    </row>
    <row r="544">
      <c r="A544" t="n">
        <v>16</v>
      </c>
      <c r="B544" t="inlineStr">
        <is>
          <t>Research &amp; Development</t>
        </is>
      </c>
      <c r="C544" t="inlineStr">
        <is>
          <t>Research Scientist</t>
        </is>
      </c>
      <c r="D544" t="inlineStr">
        <is>
          <t>No</t>
        </is>
      </c>
      <c r="E544" s="8" t="n">
        <v>2911</v>
      </c>
      <c r="F544" s="8">
        <f>E544*Assumptions!$B$7</f>
        <v/>
      </c>
      <c r="G544" s="9" t="n">
        <v>0.0503</v>
      </c>
      <c r="H544" t="inlineStr">
        <is>
          <t>Low</t>
        </is>
      </c>
      <c r="I544">
        <f>IF(G544&gt;=Assumptions!$B$4,"Yes","No")</f>
        <v/>
      </c>
      <c r="J544" s="8">
        <f>F544*Assumptions!$B$6</f>
        <v/>
      </c>
      <c r="K544" s="10">
        <f>G544*J544</f>
        <v/>
      </c>
      <c r="L544" s="10">
        <f>IF(I544="Yes",G544*Assumptions!$B$5*J544,0)</f>
        <v/>
      </c>
    </row>
    <row r="545">
      <c r="A545" t="n">
        <v>169</v>
      </c>
      <c r="B545" t="inlineStr">
        <is>
          <t>Research &amp; Development</t>
        </is>
      </c>
      <c r="C545" t="inlineStr">
        <is>
          <t>Laboratory Technician</t>
        </is>
      </c>
      <c r="D545" t="inlineStr">
        <is>
          <t>No</t>
        </is>
      </c>
      <c r="E545" s="8" t="n">
        <v>2523</v>
      </c>
      <c r="F545" s="8">
        <f>E545*Assumptions!$B$7</f>
        <v/>
      </c>
      <c r="G545" s="9" t="n">
        <v>0.0502</v>
      </c>
      <c r="H545" t="inlineStr">
        <is>
          <t>Low</t>
        </is>
      </c>
      <c r="I545">
        <f>IF(G545&gt;=Assumptions!$B$4,"Yes","No")</f>
        <v/>
      </c>
      <c r="J545" s="8">
        <f>F545*Assumptions!$B$6</f>
        <v/>
      </c>
      <c r="K545" s="10">
        <f>G545*J545</f>
        <v/>
      </c>
      <c r="L545" s="10">
        <f>IF(I545="Yes",G545*Assumptions!$B$5*J545,0)</f>
        <v/>
      </c>
    </row>
    <row r="546">
      <c r="A546" t="n">
        <v>1997</v>
      </c>
      <c r="B546" t="inlineStr">
        <is>
          <t>Research &amp; Development</t>
        </is>
      </c>
      <c r="C546" t="inlineStr">
        <is>
          <t>Manufacturing Director</t>
        </is>
      </c>
      <c r="D546" t="inlineStr">
        <is>
          <t>No</t>
        </is>
      </c>
      <c r="E546" s="8" t="n">
        <v>5321</v>
      </c>
      <c r="F546" s="8">
        <f>E546*Assumptions!$B$7</f>
        <v/>
      </c>
      <c r="G546" s="9" t="n">
        <v>0.0501</v>
      </c>
      <c r="H546" t="inlineStr">
        <is>
          <t>Low</t>
        </is>
      </c>
      <c r="I546">
        <f>IF(G546&gt;=Assumptions!$B$4,"Yes","No")</f>
        <v/>
      </c>
      <c r="J546" s="8">
        <f>F546*Assumptions!$B$6</f>
        <v/>
      </c>
      <c r="K546" s="10">
        <f>G546*J546</f>
        <v/>
      </c>
      <c r="L546" s="10">
        <f>IF(I546="Yes",G546*Assumptions!$B$5*J546,0)</f>
        <v/>
      </c>
    </row>
    <row r="547">
      <c r="A547" t="n">
        <v>98</v>
      </c>
      <c r="B547" t="inlineStr">
        <is>
          <t>Research &amp; Development</t>
        </is>
      </c>
      <c r="C547" t="inlineStr">
        <is>
          <t>Manufacturing Director</t>
        </is>
      </c>
      <c r="D547" t="inlineStr">
        <is>
          <t>No</t>
        </is>
      </c>
      <c r="E547" s="8" t="n">
        <v>4424</v>
      </c>
      <c r="F547" s="8">
        <f>E547*Assumptions!$B$7</f>
        <v/>
      </c>
      <c r="G547" s="9" t="n">
        <v>0.05</v>
      </c>
      <c r="H547" t="inlineStr">
        <is>
          <t>Low</t>
        </is>
      </c>
      <c r="I547">
        <f>IF(G547&gt;=Assumptions!$B$4,"Yes","No")</f>
        <v/>
      </c>
      <c r="J547" s="8">
        <f>F547*Assumptions!$B$6</f>
        <v/>
      </c>
      <c r="K547" s="10">
        <f>G547*J547</f>
        <v/>
      </c>
      <c r="L547" s="10">
        <f>IF(I547="Yes",G547*Assumptions!$B$5*J547,0)</f>
        <v/>
      </c>
    </row>
    <row r="548">
      <c r="A548" t="n">
        <v>721</v>
      </c>
      <c r="B548" t="inlineStr">
        <is>
          <t>Research &amp; Development</t>
        </is>
      </c>
      <c r="C548" t="inlineStr">
        <is>
          <t>Healthcare Representative</t>
        </is>
      </c>
      <c r="D548" t="inlineStr">
        <is>
          <t>No</t>
        </is>
      </c>
      <c r="E548" s="8" t="n">
        <v>4553</v>
      </c>
      <c r="F548" s="8">
        <f>E548*Assumptions!$B$7</f>
        <v/>
      </c>
      <c r="G548" s="9" t="n">
        <v>0.05</v>
      </c>
      <c r="H548" t="inlineStr">
        <is>
          <t>Low</t>
        </is>
      </c>
      <c r="I548">
        <f>IF(G548&gt;=Assumptions!$B$4,"Yes","No")</f>
        <v/>
      </c>
      <c r="J548" s="8">
        <f>F548*Assumptions!$B$6</f>
        <v/>
      </c>
      <c r="K548" s="10">
        <f>G548*J548</f>
        <v/>
      </c>
      <c r="L548" s="10">
        <f>IF(I548="Yes",G548*Assumptions!$B$5*J548,0)</f>
        <v/>
      </c>
    </row>
    <row r="549">
      <c r="A549" t="n">
        <v>1158</v>
      </c>
      <c r="B549" t="inlineStr">
        <is>
          <t>Research &amp; Development</t>
        </is>
      </c>
      <c r="C549" t="inlineStr">
        <is>
          <t>Laboratory Technician</t>
        </is>
      </c>
      <c r="D549" t="inlineStr">
        <is>
          <t>Yes</t>
        </is>
      </c>
      <c r="E549" s="8" t="n">
        <v>4766</v>
      </c>
      <c r="F549" s="8">
        <f>E549*Assumptions!$B$7</f>
        <v/>
      </c>
      <c r="G549" s="9" t="n">
        <v>0.0497</v>
      </c>
      <c r="H549" t="inlineStr">
        <is>
          <t>Low</t>
        </is>
      </c>
      <c r="I549">
        <f>IF(G549&gt;=Assumptions!$B$4,"Yes","No")</f>
        <v/>
      </c>
      <c r="J549" s="8">
        <f>F549*Assumptions!$B$6</f>
        <v/>
      </c>
      <c r="K549" s="10">
        <f>G549*J549</f>
        <v/>
      </c>
      <c r="L549" s="10">
        <f>IF(I549="Yes",G549*Assumptions!$B$5*J549,0)</f>
        <v/>
      </c>
    </row>
    <row r="550">
      <c r="A550" t="n">
        <v>1469</v>
      </c>
      <c r="B550" t="inlineStr">
        <is>
          <t>Sales</t>
        </is>
      </c>
      <c r="C550" t="inlineStr">
        <is>
          <t>Sales Executive</t>
        </is>
      </c>
      <c r="D550" t="inlineStr">
        <is>
          <t>No</t>
        </is>
      </c>
      <c r="E550" s="8" t="n">
        <v>8463</v>
      </c>
      <c r="F550" s="8">
        <f>E550*Assumptions!$B$7</f>
        <v/>
      </c>
      <c r="G550" s="9" t="n">
        <v>0.0496</v>
      </c>
      <c r="H550" t="inlineStr">
        <is>
          <t>Low</t>
        </is>
      </c>
      <c r="I550">
        <f>IF(G550&gt;=Assumptions!$B$4,"Yes","No")</f>
        <v/>
      </c>
      <c r="J550" s="8">
        <f>F550*Assumptions!$B$6</f>
        <v/>
      </c>
      <c r="K550" s="10">
        <f>G550*J550</f>
        <v/>
      </c>
      <c r="L550" s="10">
        <f>IF(I550="Yes",G550*Assumptions!$B$5*J550,0)</f>
        <v/>
      </c>
    </row>
    <row r="551">
      <c r="A551" t="n">
        <v>1885</v>
      </c>
      <c r="B551" t="inlineStr">
        <is>
          <t>Research &amp; Development</t>
        </is>
      </c>
      <c r="C551" t="inlineStr">
        <is>
          <t>Research Scientist</t>
        </is>
      </c>
      <c r="D551" t="inlineStr">
        <is>
          <t>Yes</t>
        </is>
      </c>
      <c r="E551" s="8" t="n">
        <v>4284</v>
      </c>
      <c r="F551" s="8">
        <f>E551*Assumptions!$B$7</f>
        <v/>
      </c>
      <c r="G551" s="9" t="n">
        <v>0.0493</v>
      </c>
      <c r="H551" t="inlineStr">
        <is>
          <t>Low</t>
        </is>
      </c>
      <c r="I551">
        <f>IF(G551&gt;=Assumptions!$B$4,"Yes","No")</f>
        <v/>
      </c>
      <c r="J551" s="8">
        <f>F551*Assumptions!$B$6</f>
        <v/>
      </c>
      <c r="K551" s="10">
        <f>G551*J551</f>
        <v/>
      </c>
      <c r="L551" s="10">
        <f>IF(I551="Yes",G551*Assumptions!$B$5*J551,0)</f>
        <v/>
      </c>
    </row>
    <row r="552">
      <c r="A552" t="n">
        <v>657</v>
      </c>
      <c r="B552" t="inlineStr">
        <is>
          <t>Research &amp; Development</t>
        </is>
      </c>
      <c r="C552" t="inlineStr">
        <is>
          <t>Research Scientist</t>
        </is>
      </c>
      <c r="D552" t="inlineStr">
        <is>
          <t>No</t>
        </is>
      </c>
      <c r="E552" s="8" t="n">
        <v>2836</v>
      </c>
      <c r="F552" s="8">
        <f>E552*Assumptions!$B$7</f>
        <v/>
      </c>
      <c r="G552" s="9" t="n">
        <v>0.0491</v>
      </c>
      <c r="H552" t="inlineStr">
        <is>
          <t>Low</t>
        </is>
      </c>
      <c r="I552">
        <f>IF(G552&gt;=Assumptions!$B$4,"Yes","No")</f>
        <v/>
      </c>
      <c r="J552" s="8">
        <f>F552*Assumptions!$B$6</f>
        <v/>
      </c>
      <c r="K552" s="10">
        <f>G552*J552</f>
        <v/>
      </c>
      <c r="L552" s="10">
        <f>IF(I552="Yes",G552*Assumptions!$B$5*J552,0)</f>
        <v/>
      </c>
    </row>
    <row r="553">
      <c r="A553" t="n">
        <v>817</v>
      </c>
      <c r="B553" t="inlineStr">
        <is>
          <t>Research &amp; Development</t>
        </is>
      </c>
      <c r="C553" t="inlineStr">
        <is>
          <t>Research Director</t>
        </is>
      </c>
      <c r="D553" t="inlineStr">
        <is>
          <t>No</t>
        </is>
      </c>
      <c r="E553" s="8" t="n">
        <v>11691</v>
      </c>
      <c r="F553" s="8">
        <f>E553*Assumptions!$B$7</f>
        <v/>
      </c>
      <c r="G553" s="9" t="n">
        <v>0.049</v>
      </c>
      <c r="H553" t="inlineStr">
        <is>
          <t>Low</t>
        </is>
      </c>
      <c r="I553">
        <f>IF(G553&gt;=Assumptions!$B$4,"Yes","No")</f>
        <v/>
      </c>
      <c r="J553" s="8">
        <f>F553*Assumptions!$B$6</f>
        <v/>
      </c>
      <c r="K553" s="10">
        <f>G553*J553</f>
        <v/>
      </c>
      <c r="L553" s="10">
        <f>IF(I553="Yes",G553*Assumptions!$B$5*J553,0)</f>
        <v/>
      </c>
    </row>
    <row r="554">
      <c r="A554" t="n">
        <v>1043</v>
      </c>
      <c r="B554" t="inlineStr">
        <is>
          <t>Research &amp; Development</t>
        </is>
      </c>
      <c r="C554" t="inlineStr">
        <is>
          <t>Manufacturing Director</t>
        </is>
      </c>
      <c r="D554" t="inlineStr">
        <is>
          <t>Yes</t>
        </is>
      </c>
      <c r="E554" s="8" t="n">
        <v>10880</v>
      </c>
      <c r="F554" s="8">
        <f>E554*Assumptions!$B$7</f>
        <v/>
      </c>
      <c r="G554" s="9" t="n">
        <v>0.049</v>
      </c>
      <c r="H554" t="inlineStr">
        <is>
          <t>Low</t>
        </is>
      </c>
      <c r="I554">
        <f>IF(G554&gt;=Assumptions!$B$4,"Yes","No")</f>
        <v/>
      </c>
      <c r="J554" s="8">
        <f>F554*Assumptions!$B$6</f>
        <v/>
      </c>
      <c r="K554" s="10">
        <f>G554*J554</f>
        <v/>
      </c>
      <c r="L554" s="10">
        <f>IF(I554="Yes",G554*Assumptions!$B$5*J554,0)</f>
        <v/>
      </c>
    </row>
    <row r="555">
      <c r="A555" t="n">
        <v>2065</v>
      </c>
      <c r="B555" t="inlineStr">
        <is>
          <t>Sales</t>
        </is>
      </c>
      <c r="C555" t="inlineStr">
        <is>
          <t>Sales Executive</t>
        </is>
      </c>
      <c r="D555" t="inlineStr">
        <is>
          <t>No</t>
        </is>
      </c>
      <c r="E555" s="8" t="n">
        <v>5390</v>
      </c>
      <c r="F555" s="8">
        <f>E555*Assumptions!$B$7</f>
        <v/>
      </c>
      <c r="G555" s="9" t="n">
        <v>0.0486</v>
      </c>
      <c r="H555" t="inlineStr">
        <is>
          <t>Low</t>
        </is>
      </c>
      <c r="I555">
        <f>IF(G555&gt;=Assumptions!$B$4,"Yes","No")</f>
        <v/>
      </c>
      <c r="J555" s="8">
        <f>F555*Assumptions!$B$6</f>
        <v/>
      </c>
      <c r="K555" s="10">
        <f>G555*J555</f>
        <v/>
      </c>
      <c r="L555" s="10">
        <f>IF(I555="Yes",G555*Assumptions!$B$5*J555,0)</f>
        <v/>
      </c>
    </row>
    <row r="556">
      <c r="A556" t="n">
        <v>1204</v>
      </c>
      <c r="B556" t="inlineStr">
        <is>
          <t>Sales</t>
        </is>
      </c>
      <c r="C556" t="inlineStr">
        <is>
          <t>Manager</t>
        </is>
      </c>
      <c r="D556" t="inlineStr">
        <is>
          <t>No</t>
        </is>
      </c>
      <c r="E556" s="8" t="n">
        <v>17048</v>
      </c>
      <c r="F556" s="8">
        <f>E556*Assumptions!$B$7</f>
        <v/>
      </c>
      <c r="G556" s="9" t="n">
        <v>0.0486</v>
      </c>
      <c r="H556" t="inlineStr">
        <is>
          <t>Low</t>
        </is>
      </c>
      <c r="I556">
        <f>IF(G556&gt;=Assumptions!$B$4,"Yes","No")</f>
        <v/>
      </c>
      <c r="J556" s="8">
        <f>F556*Assumptions!$B$6</f>
        <v/>
      </c>
      <c r="K556" s="10">
        <f>G556*J556</f>
        <v/>
      </c>
      <c r="L556" s="10">
        <f>IF(I556="Yes",G556*Assumptions!$B$5*J556,0)</f>
        <v/>
      </c>
    </row>
    <row r="557">
      <c r="A557" t="n">
        <v>483</v>
      </c>
      <c r="B557" t="inlineStr">
        <is>
          <t>Research &amp; Development</t>
        </is>
      </c>
      <c r="C557" t="inlineStr">
        <is>
          <t>Laboratory Technician</t>
        </is>
      </c>
      <c r="D557" t="inlineStr">
        <is>
          <t>Yes</t>
        </is>
      </c>
      <c r="E557" s="8" t="n">
        <v>2213</v>
      </c>
      <c r="F557" s="8">
        <f>E557*Assumptions!$B$7</f>
        <v/>
      </c>
      <c r="G557" s="9" t="n">
        <v>0.0485</v>
      </c>
      <c r="H557" t="inlineStr">
        <is>
          <t>Low</t>
        </is>
      </c>
      <c r="I557">
        <f>IF(G557&gt;=Assumptions!$B$4,"Yes","No")</f>
        <v/>
      </c>
      <c r="J557" s="8">
        <f>F557*Assumptions!$B$6</f>
        <v/>
      </c>
      <c r="K557" s="10">
        <f>G557*J557</f>
        <v/>
      </c>
      <c r="L557" s="10">
        <f>IF(I557="Yes",G557*Assumptions!$B$5*J557,0)</f>
        <v/>
      </c>
    </row>
    <row r="558">
      <c r="A558" t="n">
        <v>198</v>
      </c>
      <c r="B558" t="inlineStr">
        <is>
          <t>Research &amp; Development</t>
        </is>
      </c>
      <c r="C558" t="inlineStr">
        <is>
          <t>Laboratory Technician</t>
        </is>
      </c>
      <c r="D558" t="inlineStr">
        <is>
          <t>No</t>
        </is>
      </c>
      <c r="E558" s="8" t="n">
        <v>2720</v>
      </c>
      <c r="F558" s="8">
        <f>E558*Assumptions!$B$7</f>
        <v/>
      </c>
      <c r="G558" s="9" t="n">
        <v>0.0484</v>
      </c>
      <c r="H558" t="inlineStr">
        <is>
          <t>Low</t>
        </is>
      </c>
      <c r="I558">
        <f>IF(G558&gt;=Assumptions!$B$4,"Yes","No")</f>
        <v/>
      </c>
      <c r="J558" s="8">
        <f>F558*Assumptions!$B$6</f>
        <v/>
      </c>
      <c r="K558" s="10">
        <f>G558*J558</f>
        <v/>
      </c>
      <c r="L558" s="10">
        <f>IF(I558="Yes",G558*Assumptions!$B$5*J558,0)</f>
        <v/>
      </c>
    </row>
    <row r="559">
      <c r="A559" t="n">
        <v>1014</v>
      </c>
      <c r="B559" t="inlineStr">
        <is>
          <t>Research &amp; Development</t>
        </is>
      </c>
      <c r="C559" t="inlineStr">
        <is>
          <t>Healthcare Representative</t>
        </is>
      </c>
      <c r="D559" t="inlineStr">
        <is>
          <t>Yes</t>
        </is>
      </c>
      <c r="E559" s="8" t="n">
        <v>10388</v>
      </c>
      <c r="F559" s="8">
        <f>E559*Assumptions!$B$7</f>
        <v/>
      </c>
      <c r="G559" s="9" t="n">
        <v>0.0484</v>
      </c>
      <c r="H559" t="inlineStr">
        <is>
          <t>Low</t>
        </is>
      </c>
      <c r="I559">
        <f>IF(G559&gt;=Assumptions!$B$4,"Yes","No")</f>
        <v/>
      </c>
      <c r="J559" s="8">
        <f>F559*Assumptions!$B$6</f>
        <v/>
      </c>
      <c r="K559" s="10">
        <f>G559*J559</f>
        <v/>
      </c>
      <c r="L559" s="10">
        <f>IF(I559="Yes",G559*Assumptions!$B$5*J559,0)</f>
        <v/>
      </c>
    </row>
    <row r="560">
      <c r="A560" t="n">
        <v>1994</v>
      </c>
      <c r="B560" t="inlineStr">
        <is>
          <t>Research &amp; Development</t>
        </is>
      </c>
      <c r="C560" t="inlineStr">
        <is>
          <t>Laboratory Technician</t>
        </is>
      </c>
      <c r="D560" t="inlineStr">
        <is>
          <t>No</t>
        </is>
      </c>
      <c r="E560" s="8" t="n">
        <v>2008</v>
      </c>
      <c r="F560" s="8">
        <f>E560*Assumptions!$B$7</f>
        <v/>
      </c>
      <c r="G560" s="9" t="n">
        <v>0.0481</v>
      </c>
      <c r="H560" t="inlineStr">
        <is>
          <t>Low</t>
        </is>
      </c>
      <c r="I560">
        <f>IF(G560&gt;=Assumptions!$B$4,"Yes","No")</f>
        <v/>
      </c>
      <c r="J560" s="8">
        <f>F560*Assumptions!$B$6</f>
        <v/>
      </c>
      <c r="K560" s="10">
        <f>G560*J560</f>
        <v/>
      </c>
      <c r="L560" s="10">
        <f>IF(I560="Yes",G560*Assumptions!$B$5*J560,0)</f>
        <v/>
      </c>
    </row>
    <row r="561">
      <c r="A561" t="n">
        <v>808</v>
      </c>
      <c r="B561" t="inlineStr">
        <is>
          <t>Sales</t>
        </is>
      </c>
      <c r="C561" t="inlineStr">
        <is>
          <t>Sales Executive</t>
        </is>
      </c>
      <c r="D561" t="inlineStr">
        <is>
          <t>No</t>
        </is>
      </c>
      <c r="E561" s="8" t="n">
        <v>6500</v>
      </c>
      <c r="F561" s="8">
        <f>E561*Assumptions!$B$7</f>
        <v/>
      </c>
      <c r="G561" s="9" t="n">
        <v>0.0481</v>
      </c>
      <c r="H561" t="inlineStr">
        <is>
          <t>Low</t>
        </is>
      </c>
      <c r="I561">
        <f>IF(G561&gt;=Assumptions!$B$4,"Yes","No")</f>
        <v/>
      </c>
      <c r="J561" s="8">
        <f>F561*Assumptions!$B$6</f>
        <v/>
      </c>
      <c r="K561" s="10">
        <f>G561*J561</f>
        <v/>
      </c>
      <c r="L561" s="10">
        <f>IF(I561="Yes",G561*Assumptions!$B$5*J561,0)</f>
        <v/>
      </c>
    </row>
    <row r="562">
      <c r="A562" t="n">
        <v>916</v>
      </c>
      <c r="B562" t="inlineStr">
        <is>
          <t>Sales</t>
        </is>
      </c>
      <c r="C562" t="inlineStr">
        <is>
          <t>Sales Executive</t>
        </is>
      </c>
      <c r="D562" t="inlineStr">
        <is>
          <t>No</t>
        </is>
      </c>
      <c r="E562" s="8" t="n">
        <v>4908</v>
      </c>
      <c r="F562" s="8">
        <f>E562*Assumptions!$B$7</f>
        <v/>
      </c>
      <c r="G562" s="9" t="n">
        <v>0.048</v>
      </c>
      <c r="H562" t="inlineStr">
        <is>
          <t>Low</t>
        </is>
      </c>
      <c r="I562">
        <f>IF(G562&gt;=Assumptions!$B$4,"Yes","No")</f>
        <v/>
      </c>
      <c r="J562" s="8">
        <f>F562*Assumptions!$B$6</f>
        <v/>
      </c>
      <c r="K562" s="10">
        <f>G562*J562</f>
        <v/>
      </c>
      <c r="L562" s="10">
        <f>IF(I562="Yes",G562*Assumptions!$B$5*J562,0)</f>
        <v/>
      </c>
    </row>
    <row r="563">
      <c r="A563" t="n">
        <v>407</v>
      </c>
      <c r="B563" t="inlineStr">
        <is>
          <t>Research &amp; Development</t>
        </is>
      </c>
      <c r="C563" t="inlineStr">
        <is>
          <t>Laboratory Technician</t>
        </is>
      </c>
      <c r="D563" t="inlineStr">
        <is>
          <t>No</t>
        </is>
      </c>
      <c r="E563" s="8" t="n">
        <v>3688</v>
      </c>
      <c r="F563" s="8">
        <f>E563*Assumptions!$B$7</f>
        <v/>
      </c>
      <c r="G563" s="9" t="n">
        <v>0.0479</v>
      </c>
      <c r="H563" t="inlineStr">
        <is>
          <t>Low</t>
        </is>
      </c>
      <c r="I563">
        <f>IF(G563&gt;=Assumptions!$B$4,"Yes","No")</f>
        <v/>
      </c>
      <c r="J563" s="8">
        <f>F563*Assumptions!$B$6</f>
        <v/>
      </c>
      <c r="K563" s="10">
        <f>G563*J563</f>
        <v/>
      </c>
      <c r="L563" s="10">
        <f>IF(I563="Yes",G563*Assumptions!$B$5*J563,0)</f>
        <v/>
      </c>
    </row>
    <row r="564">
      <c r="A564" t="n">
        <v>1475</v>
      </c>
      <c r="B564" t="inlineStr">
        <is>
          <t>Research &amp; Development</t>
        </is>
      </c>
      <c r="C564" t="inlineStr">
        <is>
          <t>Research Scientist</t>
        </is>
      </c>
      <c r="D564" t="inlineStr">
        <is>
          <t>No</t>
        </is>
      </c>
      <c r="E564" s="8" t="n">
        <v>3420</v>
      </c>
      <c r="F564" s="8">
        <f>E564*Assumptions!$B$7</f>
        <v/>
      </c>
      <c r="G564" s="9" t="n">
        <v>0.0478</v>
      </c>
      <c r="H564" t="inlineStr">
        <is>
          <t>Low</t>
        </is>
      </c>
      <c r="I564">
        <f>IF(G564&gt;=Assumptions!$B$4,"Yes","No")</f>
        <v/>
      </c>
      <c r="J564" s="8">
        <f>F564*Assumptions!$B$6</f>
        <v/>
      </c>
      <c r="K564" s="10">
        <f>G564*J564</f>
        <v/>
      </c>
      <c r="L564" s="10">
        <f>IF(I564="Yes",G564*Assumptions!$B$5*J564,0)</f>
        <v/>
      </c>
    </row>
    <row r="565">
      <c r="A565" t="n">
        <v>474</v>
      </c>
      <c r="B565" t="inlineStr">
        <is>
          <t>Research &amp; Development</t>
        </is>
      </c>
      <c r="C565" t="inlineStr">
        <is>
          <t>Research Scientist</t>
        </is>
      </c>
      <c r="D565" t="inlineStr">
        <is>
          <t>Yes</t>
        </is>
      </c>
      <c r="E565" s="8" t="n">
        <v>5974</v>
      </c>
      <c r="F565" s="8">
        <f>E565*Assumptions!$B$7</f>
        <v/>
      </c>
      <c r="G565" s="9" t="n">
        <v>0.0478</v>
      </c>
      <c r="H565" t="inlineStr">
        <is>
          <t>Low</t>
        </is>
      </c>
      <c r="I565">
        <f>IF(G565&gt;=Assumptions!$B$4,"Yes","No")</f>
        <v/>
      </c>
      <c r="J565" s="8">
        <f>F565*Assumptions!$B$6</f>
        <v/>
      </c>
      <c r="K565" s="10">
        <f>G565*J565</f>
        <v/>
      </c>
      <c r="L565" s="10">
        <f>IF(I565="Yes",G565*Assumptions!$B$5*J565,0)</f>
        <v/>
      </c>
    </row>
    <row r="566">
      <c r="A566" t="n">
        <v>224</v>
      </c>
      <c r="B566" t="inlineStr">
        <is>
          <t>Research &amp; Development</t>
        </is>
      </c>
      <c r="C566" t="inlineStr">
        <is>
          <t>Research Scientist</t>
        </is>
      </c>
      <c r="D566" t="inlineStr">
        <is>
          <t>Yes</t>
        </is>
      </c>
      <c r="E566" s="8" t="n">
        <v>2566</v>
      </c>
      <c r="F566" s="8">
        <f>E566*Assumptions!$B$7</f>
        <v/>
      </c>
      <c r="G566" s="9" t="n">
        <v>0.0478</v>
      </c>
      <c r="H566" t="inlineStr">
        <is>
          <t>Low</t>
        </is>
      </c>
      <c r="I566">
        <f>IF(G566&gt;=Assumptions!$B$4,"Yes","No")</f>
        <v/>
      </c>
      <c r="J566" s="8">
        <f>F566*Assumptions!$B$6</f>
        <v/>
      </c>
      <c r="K566" s="10">
        <f>G566*J566</f>
        <v/>
      </c>
      <c r="L566" s="10">
        <f>IF(I566="Yes",G566*Assumptions!$B$5*J566,0)</f>
        <v/>
      </c>
    </row>
    <row r="567">
      <c r="A567" t="n">
        <v>302</v>
      </c>
      <c r="B567" t="inlineStr">
        <is>
          <t>Sales</t>
        </is>
      </c>
      <c r="C567" t="inlineStr">
        <is>
          <t>Sales Executive</t>
        </is>
      </c>
      <c r="D567" t="inlineStr">
        <is>
          <t>No</t>
        </is>
      </c>
      <c r="E567" s="8" t="n">
        <v>8865</v>
      </c>
      <c r="F567" s="8">
        <f>E567*Assumptions!$B$7</f>
        <v/>
      </c>
      <c r="G567" s="9" t="n">
        <v>0.0478</v>
      </c>
      <c r="H567" t="inlineStr">
        <is>
          <t>Low</t>
        </is>
      </c>
      <c r="I567">
        <f>IF(G567&gt;=Assumptions!$B$4,"Yes","No")</f>
        <v/>
      </c>
      <c r="J567" s="8">
        <f>F567*Assumptions!$B$6</f>
        <v/>
      </c>
      <c r="K567" s="10">
        <f>G567*J567</f>
        <v/>
      </c>
      <c r="L567" s="10">
        <f>IF(I567="Yes",G567*Assumptions!$B$5*J567,0)</f>
        <v/>
      </c>
    </row>
    <row r="568">
      <c r="A568" t="n">
        <v>171</v>
      </c>
      <c r="B568" t="inlineStr">
        <is>
          <t>Research &amp; Development</t>
        </is>
      </c>
      <c r="C568" t="inlineStr">
        <is>
          <t>Research Scientist</t>
        </is>
      </c>
      <c r="D568" t="inlineStr">
        <is>
          <t>No</t>
        </is>
      </c>
      <c r="E568" s="8" t="n">
        <v>4739</v>
      </c>
      <c r="F568" s="8">
        <f>E568*Assumptions!$B$7</f>
        <v/>
      </c>
      <c r="G568" s="9" t="n">
        <v>0.0478</v>
      </c>
      <c r="H568" t="inlineStr">
        <is>
          <t>Low</t>
        </is>
      </c>
      <c r="I568">
        <f>IF(G568&gt;=Assumptions!$B$4,"Yes","No")</f>
        <v/>
      </c>
      <c r="J568" s="8">
        <f>F568*Assumptions!$B$6</f>
        <v/>
      </c>
      <c r="K568" s="10">
        <f>G568*J568</f>
        <v/>
      </c>
      <c r="L568" s="10">
        <f>IF(I568="Yes",G568*Assumptions!$B$5*J568,0)</f>
        <v/>
      </c>
    </row>
    <row r="569">
      <c r="A569" t="n">
        <v>439</v>
      </c>
      <c r="B569" t="inlineStr">
        <is>
          <t>Research &amp; Development</t>
        </is>
      </c>
      <c r="C569" t="inlineStr">
        <is>
          <t>Research Scientist</t>
        </is>
      </c>
      <c r="D569" t="inlineStr">
        <is>
          <t>No</t>
        </is>
      </c>
      <c r="E569" s="8" t="n">
        <v>5055</v>
      </c>
      <c r="F569" s="8">
        <f>E569*Assumptions!$B$7</f>
        <v/>
      </c>
      <c r="G569" s="9" t="n">
        <v>0.0477</v>
      </c>
      <c r="H569" t="inlineStr">
        <is>
          <t>Low</t>
        </is>
      </c>
      <c r="I569">
        <f>IF(G569&gt;=Assumptions!$B$4,"Yes","No")</f>
        <v/>
      </c>
      <c r="J569" s="8">
        <f>F569*Assumptions!$B$6</f>
        <v/>
      </c>
      <c r="K569" s="10">
        <f>G569*J569</f>
        <v/>
      </c>
      <c r="L569" s="10">
        <f>IF(I569="Yes",G569*Assumptions!$B$5*J569,0)</f>
        <v/>
      </c>
    </row>
    <row r="570">
      <c r="A570" t="n">
        <v>1648</v>
      </c>
      <c r="B570" t="inlineStr">
        <is>
          <t>Research &amp; Development</t>
        </is>
      </c>
      <c r="C570" t="inlineStr">
        <is>
          <t>Research Scientist</t>
        </is>
      </c>
      <c r="D570" t="inlineStr">
        <is>
          <t>No</t>
        </is>
      </c>
      <c r="E570" s="8" t="n">
        <v>2580</v>
      </c>
      <c r="F570" s="8">
        <f>E570*Assumptions!$B$7</f>
        <v/>
      </c>
      <c r="G570" s="9" t="n">
        <v>0.0476</v>
      </c>
      <c r="H570" t="inlineStr">
        <is>
          <t>Low</t>
        </is>
      </c>
      <c r="I570">
        <f>IF(G570&gt;=Assumptions!$B$4,"Yes","No")</f>
        <v/>
      </c>
      <c r="J570" s="8">
        <f>F570*Assumptions!$B$6</f>
        <v/>
      </c>
      <c r="K570" s="10">
        <f>G570*J570</f>
        <v/>
      </c>
      <c r="L570" s="10">
        <f>IF(I570="Yes",G570*Assumptions!$B$5*J570,0)</f>
        <v/>
      </c>
    </row>
    <row r="571">
      <c r="A571" t="n">
        <v>1270</v>
      </c>
      <c r="B571" t="inlineStr">
        <is>
          <t>Research &amp; Development</t>
        </is>
      </c>
      <c r="C571" t="inlineStr">
        <is>
          <t>Research Scientist</t>
        </is>
      </c>
      <c r="D571" t="inlineStr">
        <is>
          <t>No</t>
        </is>
      </c>
      <c r="E571" s="8" t="n">
        <v>1223</v>
      </c>
      <c r="F571" s="8">
        <f>E571*Assumptions!$B$7</f>
        <v/>
      </c>
      <c r="G571" s="9" t="n">
        <v>0.0475</v>
      </c>
      <c r="H571" t="inlineStr">
        <is>
          <t>Low</t>
        </is>
      </c>
      <c r="I571">
        <f>IF(G571&gt;=Assumptions!$B$4,"Yes","No")</f>
        <v/>
      </c>
      <c r="J571" s="8">
        <f>F571*Assumptions!$B$6</f>
        <v/>
      </c>
      <c r="K571" s="10">
        <f>G571*J571</f>
        <v/>
      </c>
      <c r="L571" s="10">
        <f>IF(I571="Yes",G571*Assumptions!$B$5*J571,0)</f>
        <v/>
      </c>
    </row>
    <row r="572">
      <c r="A572" t="n">
        <v>116</v>
      </c>
      <c r="B572" t="inlineStr">
        <is>
          <t>Research &amp; Development</t>
        </is>
      </c>
      <c r="C572" t="inlineStr">
        <is>
          <t>Laboratory Technician</t>
        </is>
      </c>
      <c r="D572" t="inlineStr">
        <is>
          <t>No</t>
        </is>
      </c>
      <c r="E572" s="8" t="n">
        <v>2075</v>
      </c>
      <c r="F572" s="8">
        <f>E572*Assumptions!$B$7</f>
        <v/>
      </c>
      <c r="G572" s="9" t="n">
        <v>0.0475</v>
      </c>
      <c r="H572" t="inlineStr">
        <is>
          <t>Low</t>
        </is>
      </c>
      <c r="I572">
        <f>IF(G572&gt;=Assumptions!$B$4,"Yes","No")</f>
        <v/>
      </c>
      <c r="J572" s="8">
        <f>F572*Assumptions!$B$6</f>
        <v/>
      </c>
      <c r="K572" s="10">
        <f>G572*J572</f>
        <v/>
      </c>
      <c r="L572" s="10">
        <f>IF(I572="Yes",G572*Assumptions!$B$5*J572,0)</f>
        <v/>
      </c>
    </row>
    <row r="573">
      <c r="A573" t="n">
        <v>516</v>
      </c>
      <c r="B573" t="inlineStr">
        <is>
          <t>Sales</t>
        </is>
      </c>
      <c r="C573" t="inlineStr">
        <is>
          <t>Sales Executive</t>
        </is>
      </c>
      <c r="D573" t="inlineStr">
        <is>
          <t>No</t>
        </is>
      </c>
      <c r="E573" s="8" t="n">
        <v>5715</v>
      </c>
      <c r="F573" s="8">
        <f>E573*Assumptions!$B$7</f>
        <v/>
      </c>
      <c r="G573" s="9" t="n">
        <v>0.0472</v>
      </c>
      <c r="H573" t="inlineStr">
        <is>
          <t>Low</t>
        </is>
      </c>
      <c r="I573">
        <f>IF(G573&gt;=Assumptions!$B$4,"Yes","No")</f>
        <v/>
      </c>
      <c r="J573" s="8">
        <f>F573*Assumptions!$B$6</f>
        <v/>
      </c>
      <c r="K573" s="10">
        <f>G573*J573</f>
        <v/>
      </c>
      <c r="L573" s="10">
        <f>IF(I573="Yes",G573*Assumptions!$B$5*J573,0)</f>
        <v/>
      </c>
    </row>
    <row r="574">
      <c r="A574" t="n">
        <v>2014</v>
      </c>
      <c r="B574" t="inlineStr">
        <is>
          <t>Research &amp; Development</t>
        </is>
      </c>
      <c r="C574" t="inlineStr">
        <is>
          <t>Research Scientist</t>
        </is>
      </c>
      <c r="D574" t="inlineStr">
        <is>
          <t>No</t>
        </is>
      </c>
      <c r="E574" s="8" t="n">
        <v>4108</v>
      </c>
      <c r="F574" s="8">
        <f>E574*Assumptions!$B$7</f>
        <v/>
      </c>
      <c r="G574" s="9" t="n">
        <v>0.0472</v>
      </c>
      <c r="H574" t="inlineStr">
        <is>
          <t>Low</t>
        </is>
      </c>
      <c r="I574">
        <f>IF(G574&gt;=Assumptions!$B$4,"Yes","No")</f>
        <v/>
      </c>
      <c r="J574" s="8">
        <f>F574*Assumptions!$B$6</f>
        <v/>
      </c>
      <c r="K574" s="10">
        <f>G574*J574</f>
        <v/>
      </c>
      <c r="L574" s="10">
        <f>IF(I574="Yes",G574*Assumptions!$B$5*J574,0)</f>
        <v/>
      </c>
    </row>
    <row r="575">
      <c r="A575" t="n">
        <v>944</v>
      </c>
      <c r="B575" t="inlineStr">
        <is>
          <t>Research &amp; Development</t>
        </is>
      </c>
      <c r="C575" t="inlineStr">
        <is>
          <t>Laboratory Technician</t>
        </is>
      </c>
      <c r="D575" t="inlineStr">
        <is>
          <t>No</t>
        </is>
      </c>
      <c r="E575" s="8" t="n">
        <v>7403</v>
      </c>
      <c r="F575" s="8">
        <f>E575*Assumptions!$B$7</f>
        <v/>
      </c>
      <c r="G575" s="9" t="n">
        <v>0.0471</v>
      </c>
      <c r="H575" t="inlineStr">
        <is>
          <t>Low</t>
        </is>
      </c>
      <c r="I575">
        <f>IF(G575&gt;=Assumptions!$B$4,"Yes","No")</f>
        <v/>
      </c>
      <c r="J575" s="8">
        <f>F575*Assumptions!$B$6</f>
        <v/>
      </c>
      <c r="K575" s="10">
        <f>G575*J575</f>
        <v/>
      </c>
      <c r="L575" s="10">
        <f>IF(I575="Yes",G575*Assumptions!$B$5*J575,0)</f>
        <v/>
      </c>
    </row>
    <row r="576">
      <c r="A576" t="n">
        <v>1225</v>
      </c>
      <c r="B576" t="inlineStr">
        <is>
          <t>Research &amp; Development</t>
        </is>
      </c>
      <c r="C576" t="inlineStr">
        <is>
          <t>Research Scientist</t>
        </is>
      </c>
      <c r="D576" t="inlineStr">
        <is>
          <t>No</t>
        </is>
      </c>
      <c r="E576" s="8" t="n">
        <v>4541</v>
      </c>
      <c r="F576" s="8">
        <f>E576*Assumptions!$B$7</f>
        <v/>
      </c>
      <c r="G576" s="9" t="n">
        <v>0.0471</v>
      </c>
      <c r="H576" t="inlineStr">
        <is>
          <t>Low</t>
        </is>
      </c>
      <c r="I576">
        <f>IF(G576&gt;=Assumptions!$B$4,"Yes","No")</f>
        <v/>
      </c>
      <c r="J576" s="8">
        <f>F576*Assumptions!$B$6</f>
        <v/>
      </c>
      <c r="K576" s="10">
        <f>G576*J576</f>
        <v/>
      </c>
      <c r="L576" s="10">
        <f>IF(I576="Yes",G576*Assumptions!$B$5*J576,0)</f>
        <v/>
      </c>
    </row>
    <row r="577">
      <c r="A577" t="n">
        <v>653</v>
      </c>
      <c r="B577" t="inlineStr">
        <is>
          <t>Sales</t>
        </is>
      </c>
      <c r="C577" t="inlineStr">
        <is>
          <t>Sales Executive</t>
        </is>
      </c>
      <c r="D577" t="inlineStr">
        <is>
          <t>No</t>
        </is>
      </c>
      <c r="E577" s="8" t="n">
        <v>5460</v>
      </c>
      <c r="F577" s="8">
        <f>E577*Assumptions!$B$7</f>
        <v/>
      </c>
      <c r="G577" s="9" t="n">
        <v>0.047</v>
      </c>
      <c r="H577" t="inlineStr">
        <is>
          <t>Low</t>
        </is>
      </c>
      <c r="I577">
        <f>IF(G577&gt;=Assumptions!$B$4,"Yes","No")</f>
        <v/>
      </c>
      <c r="J577" s="8">
        <f>F577*Assumptions!$B$6</f>
        <v/>
      </c>
      <c r="K577" s="10">
        <f>G577*J577</f>
        <v/>
      </c>
      <c r="L577" s="10">
        <f>IF(I577="Yes",G577*Assumptions!$B$5*J577,0)</f>
        <v/>
      </c>
    </row>
    <row r="578">
      <c r="A578" t="n">
        <v>800</v>
      </c>
      <c r="B578" t="inlineStr">
        <is>
          <t>Sales</t>
        </is>
      </c>
      <c r="C578" t="inlineStr">
        <is>
          <t>Sales Executive</t>
        </is>
      </c>
      <c r="D578" t="inlineStr">
        <is>
          <t>No</t>
        </is>
      </c>
      <c r="E578" s="8" t="n">
        <v>4342</v>
      </c>
      <c r="F578" s="8">
        <f>E578*Assumptions!$B$7</f>
        <v/>
      </c>
      <c r="G578" s="9" t="n">
        <v>0.0468</v>
      </c>
      <c r="H578" t="inlineStr">
        <is>
          <t>Low</t>
        </is>
      </c>
      <c r="I578">
        <f>IF(G578&gt;=Assumptions!$B$4,"Yes","No")</f>
        <v/>
      </c>
      <c r="J578" s="8">
        <f>F578*Assumptions!$B$6</f>
        <v/>
      </c>
      <c r="K578" s="10">
        <f>G578*J578</f>
        <v/>
      </c>
      <c r="L578" s="10">
        <f>IF(I578="Yes",G578*Assumptions!$B$5*J578,0)</f>
        <v/>
      </c>
    </row>
    <row r="579">
      <c r="A579" t="n">
        <v>1912</v>
      </c>
      <c r="B579" t="inlineStr">
        <is>
          <t>Sales</t>
        </is>
      </c>
      <c r="C579" t="inlineStr">
        <is>
          <t>Sales Executive</t>
        </is>
      </c>
      <c r="D579" t="inlineStr">
        <is>
          <t>Yes</t>
        </is>
      </c>
      <c r="E579" s="8" t="n">
        <v>6583</v>
      </c>
      <c r="F579" s="8">
        <f>E579*Assumptions!$B$7</f>
        <v/>
      </c>
      <c r="G579" s="9" t="n">
        <v>0.0467</v>
      </c>
      <c r="H579" t="inlineStr">
        <is>
          <t>Low</t>
        </is>
      </c>
      <c r="I579">
        <f>IF(G579&gt;=Assumptions!$B$4,"Yes","No")</f>
        <v/>
      </c>
      <c r="J579" s="8">
        <f>F579*Assumptions!$B$6</f>
        <v/>
      </c>
      <c r="K579" s="10">
        <f>G579*J579</f>
        <v/>
      </c>
      <c r="L579" s="10">
        <f>IF(I579="Yes",G579*Assumptions!$B$5*J579,0)</f>
        <v/>
      </c>
    </row>
    <row r="580">
      <c r="A580" t="n">
        <v>14</v>
      </c>
      <c r="B580" t="inlineStr">
        <is>
          <t>Research &amp; Development</t>
        </is>
      </c>
      <c r="C580" t="inlineStr">
        <is>
          <t>Laboratory Technician</t>
        </is>
      </c>
      <c r="D580" t="inlineStr">
        <is>
          <t>No</t>
        </is>
      </c>
      <c r="E580" s="8" t="n">
        <v>2426</v>
      </c>
      <c r="F580" s="8">
        <f>E580*Assumptions!$B$7</f>
        <v/>
      </c>
      <c r="G580" s="9" t="n">
        <v>0.0466</v>
      </c>
      <c r="H580" t="inlineStr">
        <is>
          <t>Low</t>
        </is>
      </c>
      <c r="I580">
        <f>IF(G580&gt;=Assumptions!$B$4,"Yes","No")</f>
        <v/>
      </c>
      <c r="J580" s="8">
        <f>F580*Assumptions!$B$6</f>
        <v/>
      </c>
      <c r="K580" s="10">
        <f>G580*J580</f>
        <v/>
      </c>
      <c r="L580" s="10">
        <f>IF(I580="Yes",G580*Assumptions!$B$5*J580,0)</f>
        <v/>
      </c>
    </row>
    <row r="581">
      <c r="A581" t="n">
        <v>1583</v>
      </c>
      <c r="B581" t="inlineStr">
        <is>
          <t>Sales</t>
        </is>
      </c>
      <c r="C581" t="inlineStr">
        <is>
          <t>Sales Executive</t>
        </is>
      </c>
      <c r="D581" t="inlineStr">
        <is>
          <t>No</t>
        </is>
      </c>
      <c r="E581" s="8" t="n">
        <v>4198</v>
      </c>
      <c r="F581" s="8">
        <f>E581*Assumptions!$B$7</f>
        <v/>
      </c>
      <c r="G581" s="9" t="n">
        <v>0.0461</v>
      </c>
      <c r="H581" t="inlineStr">
        <is>
          <t>Low</t>
        </is>
      </c>
      <c r="I581">
        <f>IF(G581&gt;=Assumptions!$B$4,"Yes","No")</f>
        <v/>
      </c>
      <c r="J581" s="8">
        <f>F581*Assumptions!$B$6</f>
        <v/>
      </c>
      <c r="K581" s="10">
        <f>G581*J581</f>
        <v/>
      </c>
      <c r="L581" s="10">
        <f>IF(I581="Yes",G581*Assumptions!$B$5*J581,0)</f>
        <v/>
      </c>
    </row>
    <row r="582">
      <c r="A582" t="n">
        <v>316</v>
      </c>
      <c r="B582" t="inlineStr">
        <is>
          <t>Research &amp; Development</t>
        </is>
      </c>
      <c r="C582" t="inlineStr">
        <is>
          <t>Laboratory Technician</t>
        </is>
      </c>
      <c r="D582" t="inlineStr">
        <is>
          <t>No</t>
        </is>
      </c>
      <c r="E582" s="8" t="n">
        <v>3212</v>
      </c>
      <c r="F582" s="8">
        <f>E582*Assumptions!$B$7</f>
        <v/>
      </c>
      <c r="G582" s="9" t="n">
        <v>0.0458</v>
      </c>
      <c r="H582" t="inlineStr">
        <is>
          <t>Low</t>
        </is>
      </c>
      <c r="I582">
        <f>IF(G582&gt;=Assumptions!$B$4,"Yes","No")</f>
        <v/>
      </c>
      <c r="J582" s="8">
        <f>F582*Assumptions!$B$6</f>
        <v/>
      </c>
      <c r="K582" s="10">
        <f>G582*J582</f>
        <v/>
      </c>
      <c r="L582" s="10">
        <f>IF(I582="Yes",G582*Assumptions!$B$5*J582,0)</f>
        <v/>
      </c>
    </row>
    <row r="583">
      <c r="A583" t="n">
        <v>1749</v>
      </c>
      <c r="B583" t="inlineStr">
        <is>
          <t>Sales</t>
        </is>
      </c>
      <c r="C583" t="inlineStr">
        <is>
          <t>Sales Executive</t>
        </is>
      </c>
      <c r="D583" t="inlineStr">
        <is>
          <t>No</t>
        </is>
      </c>
      <c r="E583" s="8" t="n">
        <v>8346</v>
      </c>
      <c r="F583" s="8">
        <f>E583*Assumptions!$B$7</f>
        <v/>
      </c>
      <c r="G583" s="9" t="n">
        <v>0.0457</v>
      </c>
      <c r="H583" t="inlineStr">
        <is>
          <t>Low</t>
        </is>
      </c>
      <c r="I583">
        <f>IF(G583&gt;=Assumptions!$B$4,"Yes","No")</f>
        <v/>
      </c>
      <c r="J583" s="8">
        <f>F583*Assumptions!$B$6</f>
        <v/>
      </c>
      <c r="K583" s="10">
        <f>G583*J583</f>
        <v/>
      </c>
      <c r="L583" s="10">
        <f>IF(I583="Yes",G583*Assumptions!$B$5*J583,0)</f>
        <v/>
      </c>
    </row>
    <row r="584">
      <c r="A584" t="n">
        <v>267</v>
      </c>
      <c r="B584" t="inlineStr">
        <is>
          <t>Research &amp; Development</t>
        </is>
      </c>
      <c r="C584" t="inlineStr">
        <is>
          <t>Research Scientist</t>
        </is>
      </c>
      <c r="D584" t="inlineStr">
        <is>
          <t>Yes</t>
        </is>
      </c>
      <c r="E584" s="8" t="n">
        <v>3564</v>
      </c>
      <c r="F584" s="8">
        <f>E584*Assumptions!$B$7</f>
        <v/>
      </c>
      <c r="G584" s="9" t="n">
        <v>0.0455</v>
      </c>
      <c r="H584" t="inlineStr">
        <is>
          <t>Low</t>
        </is>
      </c>
      <c r="I584">
        <f>IF(G584&gt;=Assumptions!$B$4,"Yes","No")</f>
        <v/>
      </c>
      <c r="J584" s="8">
        <f>F584*Assumptions!$B$6</f>
        <v/>
      </c>
      <c r="K584" s="10">
        <f>G584*J584</f>
        <v/>
      </c>
      <c r="L584" s="10">
        <f>IF(I584="Yes",G584*Assumptions!$B$5*J584,0)</f>
        <v/>
      </c>
    </row>
    <row r="585">
      <c r="A585" t="n">
        <v>1336</v>
      </c>
      <c r="B585" t="inlineStr">
        <is>
          <t>Research &amp; Development</t>
        </is>
      </c>
      <c r="C585" t="inlineStr">
        <is>
          <t>Manager</t>
        </is>
      </c>
      <c r="D585" t="inlineStr">
        <is>
          <t>No</t>
        </is>
      </c>
      <c r="E585" s="8" t="n">
        <v>19187</v>
      </c>
      <c r="F585" s="8">
        <f>E585*Assumptions!$B$7</f>
        <v/>
      </c>
      <c r="G585" s="9" t="n">
        <v>0.0453</v>
      </c>
      <c r="H585" t="inlineStr">
        <is>
          <t>Low</t>
        </is>
      </c>
      <c r="I585">
        <f>IF(G585&gt;=Assumptions!$B$4,"Yes","No")</f>
        <v/>
      </c>
      <c r="J585" s="8">
        <f>F585*Assumptions!$B$6</f>
        <v/>
      </c>
      <c r="K585" s="10">
        <f>G585*J585</f>
        <v/>
      </c>
      <c r="L585" s="10">
        <f>IF(I585="Yes",G585*Assumptions!$B$5*J585,0)</f>
        <v/>
      </c>
    </row>
    <row r="586">
      <c r="A586" t="n">
        <v>1243</v>
      </c>
      <c r="B586" t="inlineStr">
        <is>
          <t>Sales</t>
        </is>
      </c>
      <c r="C586" t="inlineStr">
        <is>
          <t>Sales Executive</t>
        </is>
      </c>
      <c r="D586" t="inlineStr">
        <is>
          <t>Yes</t>
        </is>
      </c>
      <c r="E586" s="8" t="n">
        <v>10377</v>
      </c>
      <c r="F586" s="8">
        <f>E586*Assumptions!$B$7</f>
        <v/>
      </c>
      <c r="G586" s="9" t="n">
        <v>0.0453</v>
      </c>
      <c r="H586" t="inlineStr">
        <is>
          <t>Low</t>
        </is>
      </c>
      <c r="I586">
        <f>IF(G586&gt;=Assumptions!$B$4,"Yes","No")</f>
        <v/>
      </c>
      <c r="J586" s="8">
        <f>F586*Assumptions!$B$6</f>
        <v/>
      </c>
      <c r="K586" s="10">
        <f>G586*J586</f>
        <v/>
      </c>
      <c r="L586" s="10">
        <f>IF(I586="Yes",G586*Assumptions!$B$5*J586,0)</f>
        <v/>
      </c>
    </row>
    <row r="587">
      <c r="A587" t="n">
        <v>1097</v>
      </c>
      <c r="B587" t="inlineStr">
        <is>
          <t>Research &amp; Development</t>
        </is>
      </c>
      <c r="C587" t="inlineStr">
        <is>
          <t>Research Scientist</t>
        </is>
      </c>
      <c r="D587" t="inlineStr">
        <is>
          <t>No</t>
        </is>
      </c>
      <c r="E587" s="8" t="n">
        <v>3660</v>
      </c>
      <c r="F587" s="8">
        <f>E587*Assumptions!$B$7</f>
        <v/>
      </c>
      <c r="G587" s="9" t="n">
        <v>0.0453</v>
      </c>
      <c r="H587" t="inlineStr">
        <is>
          <t>Low</t>
        </is>
      </c>
      <c r="I587">
        <f>IF(G587&gt;=Assumptions!$B$4,"Yes","No")</f>
        <v/>
      </c>
      <c r="J587" s="8">
        <f>F587*Assumptions!$B$6</f>
        <v/>
      </c>
      <c r="K587" s="10">
        <f>G587*J587</f>
        <v/>
      </c>
      <c r="L587" s="10">
        <f>IF(I587="Yes",G587*Assumptions!$B$5*J587,0)</f>
        <v/>
      </c>
    </row>
    <row r="588">
      <c r="A588" t="n">
        <v>134</v>
      </c>
      <c r="B588" t="inlineStr">
        <is>
          <t>Research &amp; Development</t>
        </is>
      </c>
      <c r="C588" t="inlineStr">
        <is>
          <t>Research Scientist</t>
        </is>
      </c>
      <c r="D588" t="inlineStr">
        <is>
          <t>No</t>
        </is>
      </c>
      <c r="E588" s="8" t="n">
        <v>2956</v>
      </c>
      <c r="F588" s="8">
        <f>E588*Assumptions!$B$7</f>
        <v/>
      </c>
      <c r="G588" s="9" t="n">
        <v>0.0449</v>
      </c>
      <c r="H588" t="inlineStr">
        <is>
          <t>Low</t>
        </is>
      </c>
      <c r="I588">
        <f>IF(G588&gt;=Assumptions!$B$4,"Yes","No")</f>
        <v/>
      </c>
      <c r="J588" s="8">
        <f>F588*Assumptions!$B$6</f>
        <v/>
      </c>
      <c r="K588" s="10">
        <f>G588*J588</f>
        <v/>
      </c>
      <c r="L588" s="10">
        <f>IF(I588="Yes",G588*Assumptions!$B$5*J588,0)</f>
        <v/>
      </c>
    </row>
    <row r="589">
      <c r="A589" t="n">
        <v>1527</v>
      </c>
      <c r="B589" t="inlineStr">
        <is>
          <t>Sales</t>
        </is>
      </c>
      <c r="C589" t="inlineStr">
        <is>
          <t>Manager</t>
        </is>
      </c>
      <c r="D589" t="inlineStr">
        <is>
          <t>No</t>
        </is>
      </c>
      <c r="E589" s="8" t="n">
        <v>16606</v>
      </c>
      <c r="F589" s="8">
        <f>E589*Assumptions!$B$7</f>
        <v/>
      </c>
      <c r="G589" s="9" t="n">
        <v>0.0446</v>
      </c>
      <c r="H589" t="inlineStr">
        <is>
          <t>Low</t>
        </is>
      </c>
      <c r="I589">
        <f>IF(G589&gt;=Assumptions!$B$4,"Yes","No")</f>
        <v/>
      </c>
      <c r="J589" s="8">
        <f>F589*Assumptions!$B$6</f>
        <v/>
      </c>
      <c r="K589" s="10">
        <f>G589*J589</f>
        <v/>
      </c>
      <c r="L589" s="10">
        <f>IF(I589="Yes",G589*Assumptions!$B$5*J589,0)</f>
        <v/>
      </c>
    </row>
    <row r="590">
      <c r="A590" t="n">
        <v>63</v>
      </c>
      <c r="B590" t="inlineStr">
        <is>
          <t>Research &amp; Development</t>
        </is>
      </c>
      <c r="C590" t="inlineStr">
        <is>
          <t>Laboratory Technician</t>
        </is>
      </c>
      <c r="D590" t="inlineStr">
        <is>
          <t>No</t>
        </is>
      </c>
      <c r="E590" s="8" t="n">
        <v>2269</v>
      </c>
      <c r="F590" s="8">
        <f>E590*Assumptions!$B$7</f>
        <v/>
      </c>
      <c r="G590" s="9" t="n">
        <v>0.0445</v>
      </c>
      <c r="H590" t="inlineStr">
        <is>
          <t>Low</t>
        </is>
      </c>
      <c r="I590">
        <f>IF(G590&gt;=Assumptions!$B$4,"Yes","No")</f>
        <v/>
      </c>
      <c r="J590" s="8">
        <f>F590*Assumptions!$B$6</f>
        <v/>
      </c>
      <c r="K590" s="10">
        <f>G590*J590</f>
        <v/>
      </c>
      <c r="L590" s="10">
        <f>IF(I590="Yes",G590*Assumptions!$B$5*J590,0)</f>
        <v/>
      </c>
    </row>
    <row r="591">
      <c r="A591" t="n">
        <v>1631</v>
      </c>
      <c r="B591" t="inlineStr">
        <is>
          <t>Research &amp; Development</t>
        </is>
      </c>
      <c r="C591" t="inlineStr">
        <is>
          <t>Manufacturing Director</t>
        </is>
      </c>
      <c r="D591" t="inlineStr">
        <is>
          <t>No</t>
        </is>
      </c>
      <c r="E591" s="8" t="n">
        <v>5768</v>
      </c>
      <c r="F591" s="8">
        <f>E591*Assumptions!$B$7</f>
        <v/>
      </c>
      <c r="G591" s="9" t="n">
        <v>0.0443</v>
      </c>
      <c r="H591" t="inlineStr">
        <is>
          <t>Low</t>
        </is>
      </c>
      <c r="I591">
        <f>IF(G591&gt;=Assumptions!$B$4,"Yes","No")</f>
        <v/>
      </c>
      <c r="J591" s="8">
        <f>F591*Assumptions!$B$6</f>
        <v/>
      </c>
      <c r="K591" s="10">
        <f>G591*J591</f>
        <v/>
      </c>
      <c r="L591" s="10">
        <f>IF(I591="Yes",G591*Assumptions!$B$5*J591,0)</f>
        <v/>
      </c>
    </row>
    <row r="592">
      <c r="A592" t="n">
        <v>1962</v>
      </c>
      <c r="B592" t="inlineStr">
        <is>
          <t>Sales</t>
        </is>
      </c>
      <c r="C592" t="inlineStr">
        <is>
          <t>Sales Executive</t>
        </is>
      </c>
      <c r="D592" t="inlineStr">
        <is>
          <t>Yes</t>
        </is>
      </c>
      <c r="E592" s="8" t="n">
        <v>5204</v>
      </c>
      <c r="F592" s="8">
        <f>E592*Assumptions!$B$7</f>
        <v/>
      </c>
      <c r="G592" s="9" t="n">
        <v>0.0443</v>
      </c>
      <c r="H592" t="inlineStr">
        <is>
          <t>Low</t>
        </is>
      </c>
      <c r="I592">
        <f>IF(G592&gt;=Assumptions!$B$4,"Yes","No")</f>
        <v/>
      </c>
      <c r="J592" s="8">
        <f>F592*Assumptions!$B$6</f>
        <v/>
      </c>
      <c r="K592" s="10">
        <f>G592*J592</f>
        <v/>
      </c>
      <c r="L592" s="10">
        <f>IF(I592="Yes",G592*Assumptions!$B$5*J592,0)</f>
        <v/>
      </c>
    </row>
    <row r="593">
      <c r="A593" t="n">
        <v>104</v>
      </c>
      <c r="B593" t="inlineStr">
        <is>
          <t>Research &amp; Development</t>
        </is>
      </c>
      <c r="C593" t="inlineStr">
        <is>
          <t>Laboratory Technician</t>
        </is>
      </c>
      <c r="D593" t="inlineStr">
        <is>
          <t>Yes</t>
        </is>
      </c>
      <c r="E593" s="8" t="n">
        <v>5126</v>
      </c>
      <c r="F593" s="8">
        <f>E593*Assumptions!$B$7</f>
        <v/>
      </c>
      <c r="G593" s="9" t="n">
        <v>0.0442</v>
      </c>
      <c r="H593" t="inlineStr">
        <is>
          <t>Low</t>
        </is>
      </c>
      <c r="I593">
        <f>IF(G593&gt;=Assumptions!$B$4,"Yes","No")</f>
        <v/>
      </c>
      <c r="J593" s="8">
        <f>F593*Assumptions!$B$6</f>
        <v/>
      </c>
      <c r="K593" s="10">
        <f>G593*J593</f>
        <v/>
      </c>
      <c r="L593" s="10">
        <f>IF(I593="Yes",G593*Assumptions!$B$5*J593,0)</f>
        <v/>
      </c>
    </row>
    <row r="594">
      <c r="A594" t="n">
        <v>1547</v>
      </c>
      <c r="B594" t="inlineStr">
        <is>
          <t>Research &amp; Development</t>
        </is>
      </c>
      <c r="C594" t="inlineStr">
        <is>
          <t>Healthcare Representative</t>
        </is>
      </c>
      <c r="D594" t="inlineStr">
        <is>
          <t>Yes</t>
        </is>
      </c>
      <c r="E594" s="8" t="n">
        <v>10124</v>
      </c>
      <c r="F594" s="8">
        <f>E594*Assumptions!$B$7</f>
        <v/>
      </c>
      <c r="G594" s="9" t="n">
        <v>0.0442</v>
      </c>
      <c r="H594" t="inlineStr">
        <is>
          <t>Low</t>
        </is>
      </c>
      <c r="I594">
        <f>IF(G594&gt;=Assumptions!$B$4,"Yes","No")</f>
        <v/>
      </c>
      <c r="J594" s="8">
        <f>F594*Assumptions!$B$6</f>
        <v/>
      </c>
      <c r="K594" s="10">
        <f>G594*J594</f>
        <v/>
      </c>
      <c r="L594" s="10">
        <f>IF(I594="Yes",G594*Assumptions!$B$5*J594,0)</f>
        <v/>
      </c>
    </row>
    <row r="595">
      <c r="A595" t="n">
        <v>1732</v>
      </c>
      <c r="B595" t="inlineStr">
        <is>
          <t>Sales</t>
        </is>
      </c>
      <c r="C595" t="inlineStr">
        <is>
          <t>Sales Executive</t>
        </is>
      </c>
      <c r="D595" t="inlineStr">
        <is>
          <t>Yes</t>
        </is>
      </c>
      <c r="E595" s="8" t="n">
        <v>10368</v>
      </c>
      <c r="F595" s="8">
        <f>E595*Assumptions!$B$7</f>
        <v/>
      </c>
      <c r="G595" s="9" t="n">
        <v>0.0436</v>
      </c>
      <c r="H595" t="inlineStr">
        <is>
          <t>Low</t>
        </is>
      </c>
      <c r="I595">
        <f>IF(G595&gt;=Assumptions!$B$4,"Yes","No")</f>
        <v/>
      </c>
      <c r="J595" s="8">
        <f>F595*Assumptions!$B$6</f>
        <v/>
      </c>
      <c r="K595" s="10">
        <f>G595*J595</f>
        <v/>
      </c>
      <c r="L595" s="10">
        <f>IF(I595="Yes",G595*Assumptions!$B$5*J595,0)</f>
        <v/>
      </c>
    </row>
    <row r="596">
      <c r="A596" t="n">
        <v>85</v>
      </c>
      <c r="B596" t="inlineStr">
        <is>
          <t>Research &amp; Development</t>
        </is>
      </c>
      <c r="C596" t="inlineStr">
        <is>
          <t>Manufacturing Director</t>
        </is>
      </c>
      <c r="D596" t="inlineStr">
        <is>
          <t>No</t>
        </is>
      </c>
      <c r="E596" s="8" t="n">
        <v>6499</v>
      </c>
      <c r="F596" s="8">
        <f>E596*Assumptions!$B$7</f>
        <v/>
      </c>
      <c r="G596" s="9" t="n">
        <v>0.0436</v>
      </c>
      <c r="H596" t="inlineStr">
        <is>
          <t>Low</t>
        </is>
      </c>
      <c r="I596">
        <f>IF(G596&gt;=Assumptions!$B$4,"Yes","No")</f>
        <v/>
      </c>
      <c r="J596" s="8">
        <f>F596*Assumptions!$B$6</f>
        <v/>
      </c>
      <c r="K596" s="10">
        <f>G596*J596</f>
        <v/>
      </c>
      <c r="L596" s="10">
        <f>IF(I596="Yes",G596*Assumptions!$B$5*J596,0)</f>
        <v/>
      </c>
    </row>
    <row r="597">
      <c r="A597" t="n">
        <v>1172</v>
      </c>
      <c r="B597" t="inlineStr">
        <is>
          <t>Research &amp; Development</t>
        </is>
      </c>
      <c r="C597" t="inlineStr">
        <is>
          <t>Laboratory Technician</t>
        </is>
      </c>
      <c r="D597" t="inlineStr">
        <is>
          <t>No</t>
        </is>
      </c>
      <c r="E597" s="8" t="n">
        <v>2258</v>
      </c>
      <c r="F597" s="8">
        <f>E597*Assumptions!$B$7</f>
        <v/>
      </c>
      <c r="G597" s="9" t="n">
        <v>0.0434</v>
      </c>
      <c r="H597" t="inlineStr">
        <is>
          <t>Low</t>
        </is>
      </c>
      <c r="I597">
        <f>IF(G597&gt;=Assumptions!$B$4,"Yes","No")</f>
        <v/>
      </c>
      <c r="J597" s="8">
        <f>F597*Assumptions!$B$6</f>
        <v/>
      </c>
      <c r="K597" s="10">
        <f>G597*J597</f>
        <v/>
      </c>
      <c r="L597" s="10">
        <f>IF(I597="Yes",G597*Assumptions!$B$5*J597,0)</f>
        <v/>
      </c>
    </row>
    <row r="598">
      <c r="A598" t="n">
        <v>1322</v>
      </c>
      <c r="B598" t="inlineStr">
        <is>
          <t>Research &amp; Development</t>
        </is>
      </c>
      <c r="C598" t="inlineStr">
        <is>
          <t>Manufacturing Director</t>
        </is>
      </c>
      <c r="D598" t="inlineStr">
        <is>
          <t>No</t>
        </is>
      </c>
      <c r="E598" s="8" t="n">
        <v>4534</v>
      </c>
      <c r="F598" s="8">
        <f>E598*Assumptions!$B$7</f>
        <v/>
      </c>
      <c r="G598" s="9" t="n">
        <v>0.0432</v>
      </c>
      <c r="H598" t="inlineStr">
        <is>
          <t>Low</t>
        </is>
      </c>
      <c r="I598">
        <f>IF(G598&gt;=Assumptions!$B$4,"Yes","No")</f>
        <v/>
      </c>
      <c r="J598" s="8">
        <f>F598*Assumptions!$B$6</f>
        <v/>
      </c>
      <c r="K598" s="10">
        <f>G598*J598</f>
        <v/>
      </c>
      <c r="L598" s="10">
        <f>IF(I598="Yes",G598*Assumptions!$B$5*J598,0)</f>
        <v/>
      </c>
    </row>
    <row r="599">
      <c r="A599" t="n">
        <v>1206</v>
      </c>
      <c r="B599" t="inlineStr">
        <is>
          <t>Research &amp; Development</t>
        </is>
      </c>
      <c r="C599" t="inlineStr">
        <is>
          <t>Research Scientist</t>
        </is>
      </c>
      <c r="D599" t="inlineStr">
        <is>
          <t>No</t>
        </is>
      </c>
      <c r="E599" s="8" t="n">
        <v>2290</v>
      </c>
      <c r="F599" s="8">
        <f>E599*Assumptions!$B$7</f>
        <v/>
      </c>
      <c r="G599" s="9" t="n">
        <v>0.0432</v>
      </c>
      <c r="H599" t="inlineStr">
        <is>
          <t>Low</t>
        </is>
      </c>
      <c r="I599">
        <f>IF(G599&gt;=Assumptions!$B$4,"Yes","No")</f>
        <v/>
      </c>
      <c r="J599" s="8">
        <f>F599*Assumptions!$B$6</f>
        <v/>
      </c>
      <c r="K599" s="10">
        <f>G599*J599</f>
        <v/>
      </c>
      <c r="L599" s="10">
        <f>IF(I599="Yes",G599*Assumptions!$B$5*J599,0)</f>
        <v/>
      </c>
    </row>
    <row r="600">
      <c r="A600" t="n">
        <v>525</v>
      </c>
      <c r="B600" t="inlineStr">
        <is>
          <t>Research &amp; Development</t>
        </is>
      </c>
      <c r="C600" t="inlineStr">
        <is>
          <t>Laboratory Technician</t>
        </is>
      </c>
      <c r="D600" t="inlineStr">
        <is>
          <t>No</t>
        </is>
      </c>
      <c r="E600" s="8" t="n">
        <v>2258</v>
      </c>
      <c r="F600" s="8">
        <f>E600*Assumptions!$B$7</f>
        <v/>
      </c>
      <c r="G600" s="9" t="n">
        <v>0.0432</v>
      </c>
      <c r="H600" t="inlineStr">
        <is>
          <t>Low</t>
        </is>
      </c>
      <c r="I600">
        <f>IF(G600&gt;=Assumptions!$B$4,"Yes","No")</f>
        <v/>
      </c>
      <c r="J600" s="8">
        <f>F600*Assumptions!$B$6</f>
        <v/>
      </c>
      <c r="K600" s="10">
        <f>G600*J600</f>
        <v/>
      </c>
      <c r="L600" s="10">
        <f>IF(I600="Yes",G600*Assumptions!$B$5*J600,0)</f>
        <v/>
      </c>
    </row>
    <row r="601">
      <c r="A601" t="n">
        <v>507</v>
      </c>
      <c r="B601" t="inlineStr">
        <is>
          <t>Sales</t>
        </is>
      </c>
      <c r="C601" t="inlineStr">
        <is>
          <t>Sales Executive</t>
        </is>
      </c>
      <c r="D601" t="inlineStr">
        <is>
          <t>Yes</t>
        </is>
      </c>
      <c r="E601" s="8" t="n">
        <v>4260</v>
      </c>
      <c r="F601" s="8">
        <f>E601*Assumptions!$B$7</f>
        <v/>
      </c>
      <c r="G601" s="9" t="n">
        <v>0.0431</v>
      </c>
      <c r="H601" t="inlineStr">
        <is>
          <t>Low</t>
        </is>
      </c>
      <c r="I601">
        <f>IF(G601&gt;=Assumptions!$B$4,"Yes","No")</f>
        <v/>
      </c>
      <c r="J601" s="8">
        <f>F601*Assumptions!$B$6</f>
        <v/>
      </c>
      <c r="K601" s="10">
        <f>G601*J601</f>
        <v/>
      </c>
      <c r="L601" s="10">
        <f>IF(I601="Yes",G601*Assumptions!$B$5*J601,0)</f>
        <v/>
      </c>
    </row>
    <row r="602">
      <c r="A602" t="n">
        <v>900</v>
      </c>
      <c r="B602" t="inlineStr">
        <is>
          <t>Sales</t>
        </is>
      </c>
      <c r="C602" t="inlineStr">
        <is>
          <t>Sales Representative</t>
        </is>
      </c>
      <c r="D602" t="inlineStr">
        <is>
          <t>No</t>
        </is>
      </c>
      <c r="E602" s="8" t="n">
        <v>2973</v>
      </c>
      <c r="F602" s="8">
        <f>E602*Assumptions!$B$7</f>
        <v/>
      </c>
      <c r="G602" s="9" t="n">
        <v>0.0431</v>
      </c>
      <c r="H602" t="inlineStr">
        <is>
          <t>Low</t>
        </is>
      </c>
      <c r="I602">
        <f>IF(G602&gt;=Assumptions!$B$4,"Yes","No")</f>
        <v/>
      </c>
      <c r="J602" s="8">
        <f>F602*Assumptions!$B$6</f>
        <v/>
      </c>
      <c r="K602" s="10">
        <f>G602*J602</f>
        <v/>
      </c>
      <c r="L602" s="10">
        <f>IF(I602="Yes",G602*Assumptions!$B$5*J602,0)</f>
        <v/>
      </c>
    </row>
    <row r="603">
      <c r="A603" t="n">
        <v>60</v>
      </c>
      <c r="B603" t="inlineStr">
        <is>
          <t>Sales</t>
        </is>
      </c>
      <c r="C603" t="inlineStr">
        <is>
          <t>Sales Executive</t>
        </is>
      </c>
      <c r="D603" t="inlineStr">
        <is>
          <t>No</t>
        </is>
      </c>
      <c r="E603" s="8" t="n">
        <v>4568</v>
      </c>
      <c r="F603" s="8">
        <f>E603*Assumptions!$B$7</f>
        <v/>
      </c>
      <c r="G603" s="9" t="n">
        <v>0.043</v>
      </c>
      <c r="H603" t="inlineStr">
        <is>
          <t>Low</t>
        </is>
      </c>
      <c r="I603">
        <f>IF(G603&gt;=Assumptions!$B$4,"Yes","No")</f>
        <v/>
      </c>
      <c r="J603" s="8">
        <f>F603*Assumptions!$B$6</f>
        <v/>
      </c>
      <c r="K603" s="10">
        <f>G603*J603</f>
        <v/>
      </c>
      <c r="L603" s="10">
        <f>IF(I603="Yes",G603*Assumptions!$B$5*J603,0)</f>
        <v/>
      </c>
    </row>
    <row r="604">
      <c r="A604" t="n">
        <v>1441</v>
      </c>
      <c r="B604" t="inlineStr">
        <is>
          <t>Research &amp; Development</t>
        </is>
      </c>
      <c r="C604" t="inlineStr">
        <is>
          <t>Research Scientist</t>
        </is>
      </c>
      <c r="D604" t="inlineStr">
        <is>
          <t>No</t>
        </is>
      </c>
      <c r="E604" s="8" t="n">
        <v>2066</v>
      </c>
      <c r="F604" s="8">
        <f>E604*Assumptions!$B$7</f>
        <v/>
      </c>
      <c r="G604" s="9" t="n">
        <v>0.043</v>
      </c>
      <c r="H604" t="inlineStr">
        <is>
          <t>Low</t>
        </is>
      </c>
      <c r="I604">
        <f>IF(G604&gt;=Assumptions!$B$4,"Yes","No")</f>
        <v/>
      </c>
      <c r="J604" s="8">
        <f>F604*Assumptions!$B$6</f>
        <v/>
      </c>
      <c r="K604" s="10">
        <f>G604*J604</f>
        <v/>
      </c>
      <c r="L604" s="10">
        <f>IF(I604="Yes",G604*Assumptions!$B$5*J604,0)</f>
        <v/>
      </c>
    </row>
    <row r="605">
      <c r="A605" t="n">
        <v>1431</v>
      </c>
      <c r="B605" t="inlineStr">
        <is>
          <t>Research &amp; Development</t>
        </is>
      </c>
      <c r="C605" t="inlineStr">
        <is>
          <t>Research Scientist</t>
        </is>
      </c>
      <c r="D605" t="inlineStr">
        <is>
          <t>No</t>
        </is>
      </c>
      <c r="E605" s="8" t="n">
        <v>2996</v>
      </c>
      <c r="F605" s="8">
        <f>E605*Assumptions!$B$7</f>
        <v/>
      </c>
      <c r="G605" s="9" t="n">
        <v>0.043</v>
      </c>
      <c r="H605" t="inlineStr">
        <is>
          <t>Low</t>
        </is>
      </c>
      <c r="I605">
        <f>IF(G605&gt;=Assumptions!$B$4,"Yes","No")</f>
        <v/>
      </c>
      <c r="J605" s="8">
        <f>F605*Assumptions!$B$6</f>
        <v/>
      </c>
      <c r="K605" s="10">
        <f>G605*J605</f>
        <v/>
      </c>
      <c r="L605" s="10">
        <f>IF(I605="Yes",G605*Assumptions!$B$5*J605,0)</f>
        <v/>
      </c>
    </row>
    <row r="606">
      <c r="A606" t="n">
        <v>1050</v>
      </c>
      <c r="B606" t="inlineStr">
        <is>
          <t>Sales</t>
        </is>
      </c>
      <c r="C606" t="inlineStr">
        <is>
          <t>Sales Executive</t>
        </is>
      </c>
      <c r="D606" t="inlineStr">
        <is>
          <t>No</t>
        </is>
      </c>
      <c r="E606" s="8" t="n">
        <v>7525</v>
      </c>
      <c r="F606" s="8">
        <f>E606*Assumptions!$B$7</f>
        <v/>
      </c>
      <c r="G606" s="9" t="n">
        <v>0.0428</v>
      </c>
      <c r="H606" t="inlineStr">
        <is>
          <t>Low</t>
        </is>
      </c>
      <c r="I606">
        <f>IF(G606&gt;=Assumptions!$B$4,"Yes","No")</f>
        <v/>
      </c>
      <c r="J606" s="8">
        <f>F606*Assumptions!$B$6</f>
        <v/>
      </c>
      <c r="K606" s="10">
        <f>G606*J606</f>
        <v/>
      </c>
      <c r="L606" s="10">
        <f>IF(I606="Yes",G606*Assumptions!$B$5*J606,0)</f>
        <v/>
      </c>
    </row>
    <row r="607">
      <c r="A607" t="n">
        <v>981</v>
      </c>
      <c r="B607" t="inlineStr">
        <is>
          <t>Sales</t>
        </is>
      </c>
      <c r="C607" t="inlineStr">
        <is>
          <t>Manager</t>
        </is>
      </c>
      <c r="D607" t="inlineStr">
        <is>
          <t>No</t>
        </is>
      </c>
      <c r="E607" s="8" t="n">
        <v>14852</v>
      </c>
      <c r="F607" s="8">
        <f>E607*Assumptions!$B$7</f>
        <v/>
      </c>
      <c r="G607" s="9" t="n">
        <v>0.0428</v>
      </c>
      <c r="H607" t="inlineStr">
        <is>
          <t>Low</t>
        </is>
      </c>
      <c r="I607">
        <f>IF(G607&gt;=Assumptions!$B$4,"Yes","No")</f>
        <v/>
      </c>
      <c r="J607" s="8">
        <f>F607*Assumptions!$B$6</f>
        <v/>
      </c>
      <c r="K607" s="10">
        <f>G607*J607</f>
        <v/>
      </c>
      <c r="L607" s="10">
        <f>IF(I607="Yes",G607*Assumptions!$B$5*J607,0)</f>
        <v/>
      </c>
    </row>
    <row r="608">
      <c r="A608" t="n">
        <v>1265</v>
      </c>
      <c r="B608" t="inlineStr">
        <is>
          <t>Research &amp; Development</t>
        </is>
      </c>
      <c r="C608" t="inlineStr">
        <is>
          <t>Research Scientist</t>
        </is>
      </c>
      <c r="D608" t="inlineStr">
        <is>
          <t>No</t>
        </is>
      </c>
      <c r="E608" s="8" t="n">
        <v>2585</v>
      </c>
      <c r="F608" s="8">
        <f>E608*Assumptions!$B$7</f>
        <v/>
      </c>
      <c r="G608" s="9" t="n">
        <v>0.0426</v>
      </c>
      <c r="H608" t="inlineStr">
        <is>
          <t>Low</t>
        </is>
      </c>
      <c r="I608">
        <f>IF(G608&gt;=Assumptions!$B$4,"Yes","No")</f>
        <v/>
      </c>
      <c r="J608" s="8">
        <f>F608*Assumptions!$B$6</f>
        <v/>
      </c>
      <c r="K608" s="10">
        <f>G608*J608</f>
        <v/>
      </c>
      <c r="L608" s="10">
        <f>IF(I608="Yes",G608*Assumptions!$B$5*J608,0)</f>
        <v/>
      </c>
    </row>
    <row r="609">
      <c r="A609" t="n">
        <v>1039</v>
      </c>
      <c r="B609" t="inlineStr">
        <is>
          <t>Sales</t>
        </is>
      </c>
      <c r="C609" t="inlineStr">
        <is>
          <t>Sales Executive</t>
        </is>
      </c>
      <c r="D609" t="inlineStr">
        <is>
          <t>Yes</t>
        </is>
      </c>
      <c r="E609" s="8" t="n">
        <v>13320</v>
      </c>
      <c r="F609" s="8">
        <f>E609*Assumptions!$B$7</f>
        <v/>
      </c>
      <c r="G609" s="9" t="n">
        <v>0.0424</v>
      </c>
      <c r="H609" t="inlineStr">
        <is>
          <t>Low</t>
        </is>
      </c>
      <c r="I609">
        <f>IF(G609&gt;=Assumptions!$B$4,"Yes","No")</f>
        <v/>
      </c>
      <c r="J609" s="8">
        <f>F609*Assumptions!$B$6</f>
        <v/>
      </c>
      <c r="K609" s="10">
        <f>G609*J609</f>
        <v/>
      </c>
      <c r="L609" s="10">
        <f>IF(I609="Yes",G609*Assumptions!$B$5*J609,0)</f>
        <v/>
      </c>
    </row>
    <row r="610">
      <c r="A610" t="n">
        <v>1599</v>
      </c>
      <c r="B610" t="inlineStr">
        <is>
          <t>Research &amp; Development</t>
        </is>
      </c>
      <c r="C610" t="inlineStr">
        <is>
          <t>Laboratory Technician</t>
        </is>
      </c>
      <c r="D610" t="inlineStr">
        <is>
          <t>No</t>
        </is>
      </c>
      <c r="E610" s="8" t="n">
        <v>4876</v>
      </c>
      <c r="F610" s="8">
        <f>E610*Assumptions!$B$7</f>
        <v/>
      </c>
      <c r="G610" s="9" t="n">
        <v>0.0424</v>
      </c>
      <c r="H610" t="inlineStr">
        <is>
          <t>Low</t>
        </is>
      </c>
      <c r="I610">
        <f>IF(G610&gt;=Assumptions!$B$4,"Yes","No")</f>
        <v/>
      </c>
      <c r="J610" s="8">
        <f>F610*Assumptions!$B$6</f>
        <v/>
      </c>
      <c r="K610" s="10">
        <f>G610*J610</f>
        <v/>
      </c>
      <c r="L610" s="10">
        <f>IF(I610="Yes",G610*Assumptions!$B$5*J610,0)</f>
        <v/>
      </c>
    </row>
    <row r="611">
      <c r="A611" t="n">
        <v>2031</v>
      </c>
      <c r="B611" t="inlineStr">
        <is>
          <t>Research &amp; Development</t>
        </is>
      </c>
      <c r="C611" t="inlineStr">
        <is>
          <t>Manager</t>
        </is>
      </c>
      <c r="D611" t="inlineStr">
        <is>
          <t>No</t>
        </is>
      </c>
      <c r="E611" s="8" t="n">
        <v>18880</v>
      </c>
      <c r="F611" s="8">
        <f>E611*Assumptions!$B$7</f>
        <v/>
      </c>
      <c r="G611" s="9" t="n">
        <v>0.0424</v>
      </c>
      <c r="H611" t="inlineStr">
        <is>
          <t>Low</t>
        </is>
      </c>
      <c r="I611">
        <f>IF(G611&gt;=Assumptions!$B$4,"Yes","No")</f>
        <v/>
      </c>
      <c r="J611" s="8">
        <f>F611*Assumptions!$B$6</f>
        <v/>
      </c>
      <c r="K611" s="10">
        <f>G611*J611</f>
        <v/>
      </c>
      <c r="L611" s="10">
        <f>IF(I611="Yes",G611*Assumptions!$B$5*J611,0)</f>
        <v/>
      </c>
    </row>
    <row r="612">
      <c r="A612" t="n">
        <v>1656</v>
      </c>
      <c r="B612" t="inlineStr">
        <is>
          <t>Research &amp; Development</t>
        </is>
      </c>
      <c r="C612" t="inlineStr">
        <is>
          <t>Research Director</t>
        </is>
      </c>
      <c r="D612" t="inlineStr">
        <is>
          <t>No</t>
        </is>
      </c>
      <c r="E612" s="8" t="n">
        <v>13269</v>
      </c>
      <c r="F612" s="8">
        <f>E612*Assumptions!$B$7</f>
        <v/>
      </c>
      <c r="G612" s="9" t="n">
        <v>0.0422</v>
      </c>
      <c r="H612" t="inlineStr">
        <is>
          <t>Low</t>
        </is>
      </c>
      <c r="I612">
        <f>IF(G612&gt;=Assumptions!$B$4,"Yes","No")</f>
        <v/>
      </c>
      <c r="J612" s="8">
        <f>F612*Assumptions!$B$6</f>
        <v/>
      </c>
      <c r="K612" s="10">
        <f>G612*J612</f>
        <v/>
      </c>
      <c r="L612" s="10">
        <f>IF(I612="Yes",G612*Assumptions!$B$5*J612,0)</f>
        <v/>
      </c>
    </row>
    <row r="613">
      <c r="A613" t="n">
        <v>1022</v>
      </c>
      <c r="B613" t="inlineStr">
        <is>
          <t>Research &amp; Development</t>
        </is>
      </c>
      <c r="C613" t="inlineStr">
        <is>
          <t>Healthcare Representative</t>
        </is>
      </c>
      <c r="D613" t="inlineStr">
        <is>
          <t>No</t>
        </is>
      </c>
      <c r="E613" s="8" t="n">
        <v>4240</v>
      </c>
      <c r="F613" s="8">
        <f>E613*Assumptions!$B$7</f>
        <v/>
      </c>
      <c r="G613" s="9" t="n">
        <v>0.042</v>
      </c>
      <c r="H613" t="inlineStr">
        <is>
          <t>Low</t>
        </is>
      </c>
      <c r="I613">
        <f>IF(G613&gt;=Assumptions!$B$4,"Yes","No")</f>
        <v/>
      </c>
      <c r="J613" s="8">
        <f>F613*Assumptions!$B$6</f>
        <v/>
      </c>
      <c r="K613" s="10">
        <f>G613*J613</f>
        <v/>
      </c>
      <c r="L613" s="10">
        <f>IF(I613="Yes",G613*Assumptions!$B$5*J613,0)</f>
        <v/>
      </c>
    </row>
    <row r="614">
      <c r="A614" t="n">
        <v>408</v>
      </c>
      <c r="B614" t="inlineStr">
        <is>
          <t>Research &amp; Development</t>
        </is>
      </c>
      <c r="C614" t="inlineStr">
        <is>
          <t>Manufacturing Director</t>
        </is>
      </c>
      <c r="D614" t="inlineStr">
        <is>
          <t>No</t>
        </is>
      </c>
      <c r="E614" s="8" t="n">
        <v>5482</v>
      </c>
      <c r="F614" s="8">
        <f>E614*Assumptions!$B$7</f>
        <v/>
      </c>
      <c r="G614" s="9" t="n">
        <v>0.0417</v>
      </c>
      <c r="H614" t="inlineStr">
        <is>
          <t>Low</t>
        </is>
      </c>
      <c r="I614">
        <f>IF(G614&gt;=Assumptions!$B$4,"Yes","No")</f>
        <v/>
      </c>
      <c r="J614" s="8">
        <f>F614*Assumptions!$B$6</f>
        <v/>
      </c>
      <c r="K614" s="10">
        <f>G614*J614</f>
        <v/>
      </c>
      <c r="L614" s="10">
        <f>IF(I614="Yes",G614*Assumptions!$B$5*J614,0)</f>
        <v/>
      </c>
    </row>
    <row r="615">
      <c r="A615" t="n">
        <v>1775</v>
      </c>
      <c r="B615" t="inlineStr">
        <is>
          <t>Research &amp; Development</t>
        </is>
      </c>
      <c r="C615" t="inlineStr">
        <is>
          <t>Manufacturing Director</t>
        </is>
      </c>
      <c r="D615" t="inlineStr">
        <is>
          <t>Yes</t>
        </is>
      </c>
      <c r="E615" s="8" t="n">
        <v>12965</v>
      </c>
      <c r="F615" s="8">
        <f>E615*Assumptions!$B$7</f>
        <v/>
      </c>
      <c r="G615" s="9" t="n">
        <v>0.0414</v>
      </c>
      <c r="H615" t="inlineStr">
        <is>
          <t>Low</t>
        </is>
      </c>
      <c r="I615">
        <f>IF(G615&gt;=Assumptions!$B$4,"Yes","No")</f>
        <v/>
      </c>
      <c r="J615" s="8">
        <f>F615*Assumptions!$B$6</f>
        <v/>
      </c>
      <c r="K615" s="10">
        <f>G615*J615</f>
        <v/>
      </c>
      <c r="L615" s="10">
        <f>IF(I615="Yes",G615*Assumptions!$B$5*J615,0)</f>
        <v/>
      </c>
    </row>
    <row r="616">
      <c r="A616" t="n">
        <v>1192</v>
      </c>
      <c r="B616" t="inlineStr">
        <is>
          <t>Research &amp; Development</t>
        </is>
      </c>
      <c r="C616" t="inlineStr">
        <is>
          <t>Laboratory Technician</t>
        </is>
      </c>
      <c r="D616" t="inlineStr">
        <is>
          <t>No</t>
        </is>
      </c>
      <c r="E616" s="8" t="n">
        <v>3131</v>
      </c>
      <c r="F616" s="8">
        <f>E616*Assumptions!$B$7</f>
        <v/>
      </c>
      <c r="G616" s="9" t="n">
        <v>0.0414</v>
      </c>
      <c r="H616" t="inlineStr">
        <is>
          <t>Low</t>
        </is>
      </c>
      <c r="I616">
        <f>IF(G616&gt;=Assumptions!$B$4,"Yes","No")</f>
        <v/>
      </c>
      <c r="J616" s="8">
        <f>F616*Assumptions!$B$6</f>
        <v/>
      </c>
      <c r="K616" s="10">
        <f>G616*J616</f>
        <v/>
      </c>
      <c r="L616" s="10">
        <f>IF(I616="Yes",G616*Assumptions!$B$5*J616,0)</f>
        <v/>
      </c>
    </row>
    <row r="617">
      <c r="A617" t="n">
        <v>1137</v>
      </c>
      <c r="B617" t="inlineStr">
        <is>
          <t>Sales</t>
        </is>
      </c>
      <c r="C617" t="inlineStr">
        <is>
          <t>Sales Executive</t>
        </is>
      </c>
      <c r="D617" t="inlineStr">
        <is>
          <t>No</t>
        </is>
      </c>
      <c r="E617" s="8" t="n">
        <v>4968</v>
      </c>
      <c r="F617" s="8">
        <f>E617*Assumptions!$B$7</f>
        <v/>
      </c>
      <c r="G617" s="9" t="n">
        <v>0.0414</v>
      </c>
      <c r="H617" t="inlineStr">
        <is>
          <t>Low</t>
        </is>
      </c>
      <c r="I617">
        <f>IF(G617&gt;=Assumptions!$B$4,"Yes","No")</f>
        <v/>
      </c>
      <c r="J617" s="8">
        <f>F617*Assumptions!$B$6</f>
        <v/>
      </c>
      <c r="K617" s="10">
        <f>G617*J617</f>
        <v/>
      </c>
      <c r="L617" s="10">
        <f>IF(I617="Yes",G617*Assumptions!$B$5*J617,0)</f>
        <v/>
      </c>
    </row>
    <row r="618">
      <c r="A618" t="n">
        <v>124</v>
      </c>
      <c r="B618" t="inlineStr">
        <is>
          <t>Research &amp; Development</t>
        </is>
      </c>
      <c r="C618" t="inlineStr">
        <is>
          <t>Healthcare Representative</t>
        </is>
      </c>
      <c r="D618" t="inlineStr">
        <is>
          <t>Yes</t>
        </is>
      </c>
      <c r="E618" s="8" t="n">
        <v>10673</v>
      </c>
      <c r="F618" s="8">
        <f>E618*Assumptions!$B$7</f>
        <v/>
      </c>
      <c r="G618" s="9" t="n">
        <v>0.0412</v>
      </c>
      <c r="H618" t="inlineStr">
        <is>
          <t>Low</t>
        </is>
      </c>
      <c r="I618">
        <f>IF(G618&gt;=Assumptions!$B$4,"Yes","No")</f>
        <v/>
      </c>
      <c r="J618" s="8">
        <f>F618*Assumptions!$B$6</f>
        <v/>
      </c>
      <c r="K618" s="10">
        <f>G618*J618</f>
        <v/>
      </c>
      <c r="L618" s="10">
        <f>IF(I618="Yes",G618*Assumptions!$B$5*J618,0)</f>
        <v/>
      </c>
    </row>
    <row r="619">
      <c r="A619" t="n">
        <v>1513</v>
      </c>
      <c r="B619" t="inlineStr">
        <is>
          <t>Research &amp; Development</t>
        </is>
      </c>
      <c r="C619" t="inlineStr">
        <is>
          <t>Laboratory Technician</t>
        </is>
      </c>
      <c r="D619" t="inlineStr">
        <is>
          <t>No</t>
        </is>
      </c>
      <c r="E619" s="8" t="n">
        <v>3180</v>
      </c>
      <c r="F619" s="8">
        <f>E619*Assumptions!$B$7</f>
        <v/>
      </c>
      <c r="G619" s="9" t="n">
        <v>0.0412</v>
      </c>
      <c r="H619" t="inlineStr">
        <is>
          <t>Low</t>
        </is>
      </c>
      <c r="I619">
        <f>IF(G619&gt;=Assumptions!$B$4,"Yes","No")</f>
        <v/>
      </c>
      <c r="J619" s="8">
        <f>F619*Assumptions!$B$6</f>
        <v/>
      </c>
      <c r="K619" s="10">
        <f>G619*J619</f>
        <v/>
      </c>
      <c r="L619" s="10">
        <f>IF(I619="Yes",G619*Assumptions!$B$5*J619,0)</f>
        <v/>
      </c>
    </row>
    <row r="620">
      <c r="A620" t="n">
        <v>1180</v>
      </c>
      <c r="B620" t="inlineStr">
        <is>
          <t>Research &amp; Development</t>
        </is>
      </c>
      <c r="C620" t="inlineStr">
        <is>
          <t>Research Scientist</t>
        </is>
      </c>
      <c r="D620" t="inlineStr">
        <is>
          <t>Yes</t>
        </is>
      </c>
      <c r="E620" s="8" t="n">
        <v>4422</v>
      </c>
      <c r="F620" s="8">
        <f>E620*Assumptions!$B$7</f>
        <v/>
      </c>
      <c r="G620" s="9" t="n">
        <v>0.0412</v>
      </c>
      <c r="H620" t="inlineStr">
        <is>
          <t>Low</t>
        </is>
      </c>
      <c r="I620">
        <f>IF(G620&gt;=Assumptions!$B$4,"Yes","No")</f>
        <v/>
      </c>
      <c r="J620" s="8">
        <f>F620*Assumptions!$B$6</f>
        <v/>
      </c>
      <c r="K620" s="10">
        <f>G620*J620</f>
        <v/>
      </c>
      <c r="L620" s="10">
        <f>IF(I620="Yes",G620*Assumptions!$B$5*J620,0)</f>
        <v/>
      </c>
    </row>
    <row r="621">
      <c r="A621" t="n">
        <v>716</v>
      </c>
      <c r="B621" t="inlineStr">
        <is>
          <t>Research &amp; Development</t>
        </is>
      </c>
      <c r="C621" t="inlineStr">
        <is>
          <t>Laboratory Technician</t>
        </is>
      </c>
      <c r="D621" t="inlineStr">
        <is>
          <t>Yes</t>
        </is>
      </c>
      <c r="E621" s="8" t="n">
        <v>3221</v>
      </c>
      <c r="F621" s="8">
        <f>E621*Assumptions!$B$7</f>
        <v/>
      </c>
      <c r="G621" s="9" t="n">
        <v>0.0412</v>
      </c>
      <c r="H621" t="inlineStr">
        <is>
          <t>Low</t>
        </is>
      </c>
      <c r="I621">
        <f>IF(G621&gt;=Assumptions!$B$4,"Yes","No")</f>
        <v/>
      </c>
      <c r="J621" s="8">
        <f>F621*Assumptions!$B$6</f>
        <v/>
      </c>
      <c r="K621" s="10">
        <f>G621*J621</f>
        <v/>
      </c>
      <c r="L621" s="10">
        <f>IF(I621="Yes",G621*Assumptions!$B$5*J621,0)</f>
        <v/>
      </c>
    </row>
    <row r="622">
      <c r="A622" t="n">
        <v>20</v>
      </c>
      <c r="B622" t="inlineStr">
        <is>
          <t>Research &amp; Development</t>
        </is>
      </c>
      <c r="C622" t="inlineStr">
        <is>
          <t>Manufacturing Director</t>
        </is>
      </c>
      <c r="D622" t="inlineStr">
        <is>
          <t>No</t>
        </is>
      </c>
      <c r="E622" s="8" t="n">
        <v>9980</v>
      </c>
      <c r="F622" s="8">
        <f>E622*Assumptions!$B$7</f>
        <v/>
      </c>
      <c r="G622" s="9" t="n">
        <v>0.0407</v>
      </c>
      <c r="H622" t="inlineStr">
        <is>
          <t>Low</t>
        </is>
      </c>
      <c r="I622">
        <f>IF(G622&gt;=Assumptions!$B$4,"Yes","No")</f>
        <v/>
      </c>
      <c r="J622" s="8">
        <f>F622*Assumptions!$B$6</f>
        <v/>
      </c>
      <c r="K622" s="10">
        <f>G622*J622</f>
        <v/>
      </c>
      <c r="L622" s="10">
        <f>IF(I622="Yes",G622*Assumptions!$B$5*J622,0)</f>
        <v/>
      </c>
    </row>
    <row r="623">
      <c r="A623" t="n">
        <v>575</v>
      </c>
      <c r="B623" t="inlineStr">
        <is>
          <t>Research &amp; Development</t>
        </is>
      </c>
      <c r="C623" t="inlineStr">
        <is>
          <t>Research Director</t>
        </is>
      </c>
      <c r="D623" t="inlineStr">
        <is>
          <t>No</t>
        </is>
      </c>
      <c r="E623" s="8" t="n">
        <v>17861</v>
      </c>
      <c r="F623" s="8">
        <f>E623*Assumptions!$B$7</f>
        <v/>
      </c>
      <c r="G623" s="9" t="n">
        <v>0.0407</v>
      </c>
      <c r="H623" t="inlineStr">
        <is>
          <t>Low</t>
        </is>
      </c>
      <c r="I623">
        <f>IF(G623&gt;=Assumptions!$B$4,"Yes","No")</f>
        <v/>
      </c>
      <c r="J623" s="8">
        <f>F623*Assumptions!$B$6</f>
        <v/>
      </c>
      <c r="K623" s="10">
        <f>G623*J623</f>
        <v/>
      </c>
      <c r="L623" s="10">
        <f>IF(I623="Yes",G623*Assumptions!$B$5*J623,0)</f>
        <v/>
      </c>
    </row>
    <row r="624">
      <c r="A624" t="n">
        <v>1982</v>
      </c>
      <c r="B624" t="inlineStr">
        <is>
          <t>Research &amp; Development</t>
        </is>
      </c>
      <c r="C624" t="inlineStr">
        <is>
          <t>Laboratory Technician</t>
        </is>
      </c>
      <c r="D624" t="inlineStr">
        <is>
          <t>No</t>
        </is>
      </c>
      <c r="E624" s="8" t="n">
        <v>2647</v>
      </c>
      <c r="F624" s="8">
        <f>E624*Assumptions!$B$7</f>
        <v/>
      </c>
      <c r="G624" s="9" t="n">
        <v>0.0406</v>
      </c>
      <c r="H624" t="inlineStr">
        <is>
          <t>Low</t>
        </is>
      </c>
      <c r="I624">
        <f>IF(G624&gt;=Assumptions!$B$4,"Yes","No")</f>
        <v/>
      </c>
      <c r="J624" s="8">
        <f>F624*Assumptions!$B$6</f>
        <v/>
      </c>
      <c r="K624" s="10">
        <f>G624*J624</f>
        <v/>
      </c>
      <c r="L624" s="10">
        <f>IF(I624="Yes",G624*Assumptions!$B$5*J624,0)</f>
        <v/>
      </c>
    </row>
    <row r="625">
      <c r="A625" t="n">
        <v>128</v>
      </c>
      <c r="B625" t="inlineStr">
        <is>
          <t>Sales</t>
        </is>
      </c>
      <c r="C625" t="inlineStr">
        <is>
          <t>Sales Executive</t>
        </is>
      </c>
      <c r="D625" t="inlineStr">
        <is>
          <t>No</t>
        </is>
      </c>
      <c r="E625" s="8" t="n">
        <v>4999</v>
      </c>
      <c r="F625" s="8">
        <f>E625*Assumptions!$B$7</f>
        <v/>
      </c>
      <c r="G625" s="9" t="n">
        <v>0.0403</v>
      </c>
      <c r="H625" t="inlineStr">
        <is>
          <t>Low</t>
        </is>
      </c>
      <c r="I625">
        <f>IF(G625&gt;=Assumptions!$B$4,"Yes","No")</f>
        <v/>
      </c>
      <c r="J625" s="8">
        <f>F625*Assumptions!$B$6</f>
        <v/>
      </c>
      <c r="K625" s="10">
        <f>G625*J625</f>
        <v/>
      </c>
      <c r="L625" s="10">
        <f>IF(I625="Yes",G625*Assumptions!$B$5*J625,0)</f>
        <v/>
      </c>
    </row>
    <row r="626">
      <c r="A626" t="n">
        <v>296</v>
      </c>
      <c r="B626" t="inlineStr">
        <is>
          <t>Research &amp; Development</t>
        </is>
      </c>
      <c r="C626" t="inlineStr">
        <is>
          <t>Research Director</t>
        </is>
      </c>
      <c r="D626" t="inlineStr">
        <is>
          <t>No</t>
        </is>
      </c>
      <c r="E626" s="8" t="n">
        <v>12490</v>
      </c>
      <c r="F626" s="8">
        <f>E626*Assumptions!$B$7</f>
        <v/>
      </c>
      <c r="G626" s="9" t="n">
        <v>0.0399</v>
      </c>
      <c r="H626" t="inlineStr">
        <is>
          <t>Low</t>
        </is>
      </c>
      <c r="I626">
        <f>IF(G626&gt;=Assumptions!$B$4,"Yes","No")</f>
        <v/>
      </c>
      <c r="J626" s="8">
        <f>F626*Assumptions!$B$6</f>
        <v/>
      </c>
      <c r="K626" s="10">
        <f>G626*J626</f>
        <v/>
      </c>
      <c r="L626" s="10">
        <f>IF(I626="Yes",G626*Assumptions!$B$5*J626,0)</f>
        <v/>
      </c>
    </row>
    <row r="627">
      <c r="A627" t="n">
        <v>343</v>
      </c>
      <c r="B627" t="inlineStr">
        <is>
          <t>Research &amp; Development</t>
        </is>
      </c>
      <c r="C627" t="inlineStr">
        <is>
          <t>Healthcare Representative</t>
        </is>
      </c>
      <c r="D627" t="inlineStr">
        <is>
          <t>No</t>
        </is>
      </c>
      <c r="E627" s="8" t="n">
        <v>10938</v>
      </c>
      <c r="F627" s="8">
        <f>E627*Assumptions!$B$7</f>
        <v/>
      </c>
      <c r="G627" s="9" t="n">
        <v>0.0399</v>
      </c>
      <c r="H627" t="inlineStr">
        <is>
          <t>Low</t>
        </is>
      </c>
      <c r="I627">
        <f>IF(G627&gt;=Assumptions!$B$4,"Yes","No")</f>
        <v/>
      </c>
      <c r="J627" s="8">
        <f>F627*Assumptions!$B$6</f>
        <v/>
      </c>
      <c r="K627" s="10">
        <f>G627*J627</f>
        <v/>
      </c>
      <c r="L627" s="10">
        <f>IF(I627="Yes",G627*Assumptions!$B$5*J627,0)</f>
        <v/>
      </c>
    </row>
    <row r="628">
      <c r="A628" t="n">
        <v>762</v>
      </c>
      <c r="B628" t="inlineStr">
        <is>
          <t>Research &amp; Development</t>
        </is>
      </c>
      <c r="C628" t="inlineStr">
        <is>
          <t>Healthcare Representative</t>
        </is>
      </c>
      <c r="D628" t="inlineStr">
        <is>
          <t>No</t>
        </is>
      </c>
      <c r="E628" s="8" t="n">
        <v>11103</v>
      </c>
      <c r="F628" s="8">
        <f>E628*Assumptions!$B$7</f>
        <v/>
      </c>
      <c r="G628" s="9" t="n">
        <v>0.0398</v>
      </c>
      <c r="H628" t="inlineStr">
        <is>
          <t>Low</t>
        </is>
      </c>
      <c r="I628">
        <f>IF(G628&gt;=Assumptions!$B$4,"Yes","No")</f>
        <v/>
      </c>
      <c r="J628" s="8">
        <f>F628*Assumptions!$B$6</f>
        <v/>
      </c>
      <c r="K628" s="10">
        <f>G628*J628</f>
        <v/>
      </c>
      <c r="L628" s="10">
        <f>IF(I628="Yes",G628*Assumptions!$B$5*J628,0)</f>
        <v/>
      </c>
    </row>
    <row r="629">
      <c r="A629" t="n">
        <v>942</v>
      </c>
      <c r="B629" t="inlineStr">
        <is>
          <t>Research &amp; Development</t>
        </is>
      </c>
      <c r="C629" t="inlineStr">
        <is>
          <t>Healthcare Representative</t>
        </is>
      </c>
      <c r="D629" t="inlineStr">
        <is>
          <t>Yes</t>
        </is>
      </c>
      <c r="E629" s="8" t="n">
        <v>4014</v>
      </c>
      <c r="F629" s="8">
        <f>E629*Assumptions!$B$7</f>
        <v/>
      </c>
      <c r="G629" s="9" t="n">
        <v>0.0397</v>
      </c>
      <c r="H629" t="inlineStr">
        <is>
          <t>Low</t>
        </is>
      </c>
      <c r="I629">
        <f>IF(G629&gt;=Assumptions!$B$4,"Yes","No")</f>
        <v/>
      </c>
      <c r="J629" s="8">
        <f>F629*Assumptions!$B$6</f>
        <v/>
      </c>
      <c r="K629" s="10">
        <f>G629*J629</f>
        <v/>
      </c>
      <c r="L629" s="10">
        <f>IF(I629="Yes",G629*Assumptions!$B$5*J629,0)</f>
        <v/>
      </c>
    </row>
    <row r="630">
      <c r="A630" t="n">
        <v>838</v>
      </c>
      <c r="B630" t="inlineStr">
        <is>
          <t>Research &amp; Development</t>
        </is>
      </c>
      <c r="C630" t="inlineStr">
        <is>
          <t>Research Scientist</t>
        </is>
      </c>
      <c r="D630" t="inlineStr">
        <is>
          <t>No</t>
        </is>
      </c>
      <c r="E630" s="8" t="n">
        <v>2553</v>
      </c>
      <c r="F630" s="8">
        <f>E630*Assumptions!$B$7</f>
        <v/>
      </c>
      <c r="G630" s="9" t="n">
        <v>0.0397</v>
      </c>
      <c r="H630" t="inlineStr">
        <is>
          <t>Low</t>
        </is>
      </c>
      <c r="I630">
        <f>IF(G630&gt;=Assumptions!$B$4,"Yes","No")</f>
        <v/>
      </c>
      <c r="J630" s="8">
        <f>F630*Assumptions!$B$6</f>
        <v/>
      </c>
      <c r="K630" s="10">
        <f>G630*J630</f>
        <v/>
      </c>
      <c r="L630" s="10">
        <f>IF(I630="Yes",G630*Assumptions!$B$5*J630,0)</f>
        <v/>
      </c>
    </row>
    <row r="631">
      <c r="A631" t="n">
        <v>1683</v>
      </c>
      <c r="B631" t="inlineStr">
        <is>
          <t>Human Resources</t>
        </is>
      </c>
      <c r="C631" t="inlineStr">
        <is>
          <t>Human Resources</t>
        </is>
      </c>
      <c r="D631" t="inlineStr">
        <is>
          <t>Yes</t>
        </is>
      </c>
      <c r="E631" s="8" t="n">
        <v>3195</v>
      </c>
      <c r="F631" s="8">
        <f>E631*Assumptions!$B$7</f>
        <v/>
      </c>
      <c r="G631" s="9" t="n">
        <v>0.0396</v>
      </c>
      <c r="H631" t="inlineStr">
        <is>
          <t>Low</t>
        </is>
      </c>
      <c r="I631">
        <f>IF(G631&gt;=Assumptions!$B$4,"Yes","No")</f>
        <v/>
      </c>
      <c r="J631" s="8">
        <f>F631*Assumptions!$B$6</f>
        <v/>
      </c>
      <c r="K631" s="10">
        <f>G631*J631</f>
        <v/>
      </c>
      <c r="L631" s="10">
        <f>IF(I631="Yes",G631*Assumptions!$B$5*J631,0)</f>
        <v/>
      </c>
    </row>
    <row r="632">
      <c r="A632" t="n">
        <v>366</v>
      </c>
      <c r="B632" t="inlineStr">
        <is>
          <t>Sales</t>
        </is>
      </c>
      <c r="C632" t="inlineStr">
        <is>
          <t>Sales Executive</t>
        </is>
      </c>
      <c r="D632" t="inlineStr">
        <is>
          <t>No</t>
        </is>
      </c>
      <c r="E632" s="8" t="n">
        <v>6644</v>
      </c>
      <c r="F632" s="8">
        <f>E632*Assumptions!$B$7</f>
        <v/>
      </c>
      <c r="G632" s="9" t="n">
        <v>0.0396</v>
      </c>
      <c r="H632" t="inlineStr">
        <is>
          <t>Low</t>
        </is>
      </c>
      <c r="I632">
        <f>IF(G632&gt;=Assumptions!$B$4,"Yes","No")</f>
        <v/>
      </c>
      <c r="J632" s="8">
        <f>F632*Assumptions!$B$6</f>
        <v/>
      </c>
      <c r="K632" s="10">
        <f>G632*J632</f>
        <v/>
      </c>
      <c r="L632" s="10">
        <f>IF(I632="Yes",G632*Assumptions!$B$5*J632,0)</f>
        <v/>
      </c>
    </row>
    <row r="633">
      <c r="A633" t="n">
        <v>1837</v>
      </c>
      <c r="B633" t="inlineStr">
        <is>
          <t>Research &amp; Development</t>
        </is>
      </c>
      <c r="C633" t="inlineStr">
        <is>
          <t>Research Director</t>
        </is>
      </c>
      <c r="D633" t="inlineStr">
        <is>
          <t>Yes</t>
        </is>
      </c>
      <c r="E633" s="8" t="n">
        <v>15787</v>
      </c>
      <c r="F633" s="8">
        <f>E633*Assumptions!$B$7</f>
        <v/>
      </c>
      <c r="G633" s="9" t="n">
        <v>0.0395</v>
      </c>
      <c r="H633" t="inlineStr">
        <is>
          <t>Low</t>
        </is>
      </c>
      <c r="I633">
        <f>IF(G633&gt;=Assumptions!$B$4,"Yes","No")</f>
        <v/>
      </c>
      <c r="J633" s="8">
        <f>F633*Assumptions!$B$6</f>
        <v/>
      </c>
      <c r="K633" s="10">
        <f>G633*J633</f>
        <v/>
      </c>
      <c r="L633" s="10">
        <f>IF(I633="Yes",G633*Assumptions!$B$5*J633,0)</f>
        <v/>
      </c>
    </row>
    <row r="634">
      <c r="A634" t="n">
        <v>246</v>
      </c>
      <c r="B634" t="inlineStr">
        <is>
          <t>Research &amp; Development</t>
        </is>
      </c>
      <c r="C634" t="inlineStr">
        <is>
          <t>Research Scientist</t>
        </is>
      </c>
      <c r="D634" t="inlineStr">
        <is>
          <t>Yes</t>
        </is>
      </c>
      <c r="E634" s="8" t="n">
        <v>3929</v>
      </c>
      <c r="F634" s="8">
        <f>E634*Assumptions!$B$7</f>
        <v/>
      </c>
      <c r="G634" s="9" t="n">
        <v>0.0395</v>
      </c>
      <c r="H634" t="inlineStr">
        <is>
          <t>Low</t>
        </is>
      </c>
      <c r="I634">
        <f>IF(G634&gt;=Assumptions!$B$4,"Yes","No")</f>
        <v/>
      </c>
      <c r="J634" s="8">
        <f>F634*Assumptions!$B$6</f>
        <v/>
      </c>
      <c r="K634" s="10">
        <f>G634*J634</f>
        <v/>
      </c>
      <c r="L634" s="10">
        <f>IF(I634="Yes",G634*Assumptions!$B$5*J634,0)</f>
        <v/>
      </c>
    </row>
    <row r="635">
      <c r="A635" t="n">
        <v>1212</v>
      </c>
      <c r="B635" t="inlineStr">
        <is>
          <t>Sales</t>
        </is>
      </c>
      <c r="C635" t="inlineStr">
        <is>
          <t>Sales Executive</t>
        </is>
      </c>
      <c r="D635" t="inlineStr">
        <is>
          <t>No</t>
        </is>
      </c>
      <c r="E635" s="8" t="n">
        <v>4327</v>
      </c>
      <c r="F635" s="8">
        <f>E635*Assumptions!$B$7</f>
        <v/>
      </c>
      <c r="G635" s="9" t="n">
        <v>0.0395</v>
      </c>
      <c r="H635" t="inlineStr">
        <is>
          <t>Low</t>
        </is>
      </c>
      <c r="I635">
        <f>IF(G635&gt;=Assumptions!$B$4,"Yes","No")</f>
        <v/>
      </c>
      <c r="J635" s="8">
        <f>F635*Assumptions!$B$6</f>
        <v/>
      </c>
      <c r="K635" s="10">
        <f>G635*J635</f>
        <v/>
      </c>
      <c r="L635" s="10">
        <f>IF(I635="Yes",G635*Assumptions!$B$5*J635,0)</f>
        <v/>
      </c>
    </row>
    <row r="636">
      <c r="A636" t="n">
        <v>1140</v>
      </c>
      <c r="B636" t="inlineStr">
        <is>
          <t>Research &amp; Development</t>
        </is>
      </c>
      <c r="C636" t="inlineStr">
        <is>
          <t>Manufacturing Director</t>
        </is>
      </c>
      <c r="D636" t="inlineStr">
        <is>
          <t>No</t>
        </is>
      </c>
      <c r="E636" s="8" t="n">
        <v>4033</v>
      </c>
      <c r="F636" s="8">
        <f>E636*Assumptions!$B$7</f>
        <v/>
      </c>
      <c r="G636" s="9" t="n">
        <v>0.0394</v>
      </c>
      <c r="H636" t="inlineStr">
        <is>
          <t>Low</t>
        </is>
      </c>
      <c r="I636">
        <f>IF(G636&gt;=Assumptions!$B$4,"Yes","No")</f>
        <v/>
      </c>
      <c r="J636" s="8">
        <f>F636*Assumptions!$B$6</f>
        <v/>
      </c>
      <c r="K636" s="10">
        <f>G636*J636</f>
        <v/>
      </c>
      <c r="L636" s="10">
        <f>IF(I636="Yes",G636*Assumptions!$B$5*J636,0)</f>
        <v/>
      </c>
    </row>
    <row r="637">
      <c r="A637" t="n">
        <v>1794</v>
      </c>
      <c r="B637" t="inlineStr">
        <is>
          <t>Human Resources</t>
        </is>
      </c>
      <c r="C637" t="inlineStr">
        <is>
          <t>Human Resources</t>
        </is>
      </c>
      <c r="D637" t="inlineStr">
        <is>
          <t>No</t>
        </is>
      </c>
      <c r="E637" s="8" t="n">
        <v>4071</v>
      </c>
      <c r="F637" s="8">
        <f>E637*Assumptions!$B$7</f>
        <v/>
      </c>
      <c r="G637" s="9" t="n">
        <v>0.0394</v>
      </c>
      <c r="H637" t="inlineStr">
        <is>
          <t>Low</t>
        </is>
      </c>
      <c r="I637">
        <f>IF(G637&gt;=Assumptions!$B$4,"Yes","No")</f>
        <v/>
      </c>
      <c r="J637" s="8">
        <f>F637*Assumptions!$B$6</f>
        <v/>
      </c>
      <c r="K637" s="10">
        <f>G637*J637</f>
        <v/>
      </c>
      <c r="L637" s="10">
        <f>IF(I637="Yes",G637*Assumptions!$B$5*J637,0)</f>
        <v/>
      </c>
    </row>
    <row r="638">
      <c r="A638" t="n">
        <v>530</v>
      </c>
      <c r="B638" t="inlineStr">
        <is>
          <t>Research &amp; Development</t>
        </is>
      </c>
      <c r="C638" t="inlineStr">
        <is>
          <t>Laboratory Technician</t>
        </is>
      </c>
      <c r="D638" t="inlineStr">
        <is>
          <t>No</t>
        </is>
      </c>
      <c r="E638" s="8" t="n">
        <v>2218</v>
      </c>
      <c r="F638" s="8">
        <f>E638*Assumptions!$B$7</f>
        <v/>
      </c>
      <c r="G638" s="9" t="n">
        <v>0.0391</v>
      </c>
      <c r="H638" t="inlineStr">
        <is>
          <t>Low</t>
        </is>
      </c>
      <c r="I638">
        <f>IF(G638&gt;=Assumptions!$B$4,"Yes","No")</f>
        <v/>
      </c>
      <c r="J638" s="8">
        <f>F638*Assumptions!$B$6</f>
        <v/>
      </c>
      <c r="K638" s="10">
        <f>G638*J638</f>
        <v/>
      </c>
      <c r="L638" s="10">
        <f>IF(I638="Yes",G638*Assumptions!$B$5*J638,0)</f>
        <v/>
      </c>
    </row>
    <row r="639">
      <c r="A639" t="n">
        <v>1447</v>
      </c>
      <c r="B639" t="inlineStr">
        <is>
          <t>Research &amp; Development</t>
        </is>
      </c>
      <c r="C639" t="inlineStr">
        <is>
          <t>Laboratory Technician</t>
        </is>
      </c>
      <c r="D639" t="inlineStr">
        <is>
          <t>No</t>
        </is>
      </c>
      <c r="E639" s="8" t="n">
        <v>3294</v>
      </c>
      <c r="F639" s="8">
        <f>E639*Assumptions!$B$7</f>
        <v/>
      </c>
      <c r="G639" s="9" t="n">
        <v>0.0391</v>
      </c>
      <c r="H639" t="inlineStr">
        <is>
          <t>Low</t>
        </is>
      </c>
      <c r="I639">
        <f>IF(G639&gt;=Assumptions!$B$4,"Yes","No")</f>
        <v/>
      </c>
      <c r="J639" s="8">
        <f>F639*Assumptions!$B$6</f>
        <v/>
      </c>
      <c r="K639" s="10">
        <f>G639*J639</f>
        <v/>
      </c>
      <c r="L639" s="10">
        <f>IF(I639="Yes",G639*Assumptions!$B$5*J639,0)</f>
        <v/>
      </c>
    </row>
    <row r="640">
      <c r="A640" t="n">
        <v>1221</v>
      </c>
      <c r="B640" t="inlineStr">
        <is>
          <t>Research &amp; Development</t>
        </is>
      </c>
      <c r="C640" t="inlineStr">
        <is>
          <t>Laboratory Technician</t>
        </is>
      </c>
      <c r="D640" t="inlineStr">
        <is>
          <t>No</t>
        </is>
      </c>
      <c r="E640" s="8" t="n">
        <v>2741</v>
      </c>
      <c r="F640" s="8">
        <f>E640*Assumptions!$B$7</f>
        <v/>
      </c>
      <c r="G640" s="9" t="n">
        <v>0.039</v>
      </c>
      <c r="H640" t="inlineStr">
        <is>
          <t>Low</t>
        </is>
      </c>
      <c r="I640">
        <f>IF(G640&gt;=Assumptions!$B$4,"Yes","No")</f>
        <v/>
      </c>
      <c r="J640" s="8">
        <f>F640*Assumptions!$B$6</f>
        <v/>
      </c>
      <c r="K640" s="10">
        <f>G640*J640</f>
        <v/>
      </c>
      <c r="L640" s="10">
        <f>IF(I640="Yes",G640*Assumptions!$B$5*J640,0)</f>
        <v/>
      </c>
    </row>
    <row r="641">
      <c r="A641" t="n">
        <v>337</v>
      </c>
      <c r="B641" t="inlineStr">
        <is>
          <t>Research &amp; Development</t>
        </is>
      </c>
      <c r="C641" t="inlineStr">
        <is>
          <t>Research Director</t>
        </is>
      </c>
      <c r="D641" t="inlineStr">
        <is>
          <t>No</t>
        </is>
      </c>
      <c r="E641" s="8" t="n">
        <v>13675</v>
      </c>
      <c r="F641" s="8">
        <f>E641*Assumptions!$B$7</f>
        <v/>
      </c>
      <c r="G641" s="9" t="n">
        <v>0.0388</v>
      </c>
      <c r="H641" t="inlineStr">
        <is>
          <t>Low</t>
        </is>
      </c>
      <c r="I641">
        <f>IF(G641&gt;=Assumptions!$B$4,"Yes","No")</f>
        <v/>
      </c>
      <c r="J641" s="8">
        <f>F641*Assumptions!$B$6</f>
        <v/>
      </c>
      <c r="K641" s="10">
        <f>G641*J641</f>
        <v/>
      </c>
      <c r="L641" s="10">
        <f>IF(I641="Yes",G641*Assumptions!$B$5*J641,0)</f>
        <v/>
      </c>
    </row>
    <row r="642">
      <c r="A642" t="n">
        <v>834</v>
      </c>
      <c r="B642" t="inlineStr">
        <is>
          <t>Research &amp; Development</t>
        </is>
      </c>
      <c r="C642" t="inlineStr">
        <is>
          <t>Research Scientist</t>
        </is>
      </c>
      <c r="D642" t="inlineStr">
        <is>
          <t>No</t>
        </is>
      </c>
      <c r="E642" s="8" t="n">
        <v>2274</v>
      </c>
      <c r="F642" s="8">
        <f>E642*Assumptions!$B$7</f>
        <v/>
      </c>
      <c r="G642" s="9" t="n">
        <v>0.0387</v>
      </c>
      <c r="H642" t="inlineStr">
        <is>
          <t>Low</t>
        </is>
      </c>
      <c r="I642">
        <f>IF(G642&gt;=Assumptions!$B$4,"Yes","No")</f>
        <v/>
      </c>
      <c r="J642" s="8">
        <f>F642*Assumptions!$B$6</f>
        <v/>
      </c>
      <c r="K642" s="10">
        <f>G642*J642</f>
        <v/>
      </c>
      <c r="L642" s="10">
        <f>IF(I642="Yes",G642*Assumptions!$B$5*J642,0)</f>
        <v/>
      </c>
    </row>
    <row r="643">
      <c r="A643" t="n">
        <v>1700</v>
      </c>
      <c r="B643" t="inlineStr">
        <is>
          <t>Sales</t>
        </is>
      </c>
      <c r="C643" t="inlineStr">
        <is>
          <t>Sales Executive</t>
        </is>
      </c>
      <c r="D643" t="inlineStr">
        <is>
          <t>No</t>
        </is>
      </c>
      <c r="E643" s="8" t="n">
        <v>9525</v>
      </c>
      <c r="F643" s="8">
        <f>E643*Assumptions!$B$7</f>
        <v/>
      </c>
      <c r="G643" s="9" t="n">
        <v>0.0387</v>
      </c>
      <c r="H643" t="inlineStr">
        <is>
          <t>Low</t>
        </is>
      </c>
      <c r="I643">
        <f>IF(G643&gt;=Assumptions!$B$4,"Yes","No")</f>
        <v/>
      </c>
      <c r="J643" s="8">
        <f>F643*Assumptions!$B$6</f>
        <v/>
      </c>
      <c r="K643" s="10">
        <f>G643*J643</f>
        <v/>
      </c>
      <c r="L643" s="10">
        <f>IF(I643="Yes",G643*Assumptions!$B$5*J643,0)</f>
        <v/>
      </c>
    </row>
    <row r="644">
      <c r="A644" t="n">
        <v>223</v>
      </c>
      <c r="B644" t="inlineStr">
        <is>
          <t>Research &amp; Development</t>
        </is>
      </c>
      <c r="C644" t="inlineStr">
        <is>
          <t>Healthcare Representative</t>
        </is>
      </c>
      <c r="D644" t="inlineStr">
        <is>
          <t>Yes</t>
        </is>
      </c>
      <c r="E644" s="8" t="n">
        <v>9439</v>
      </c>
      <c r="F644" s="8">
        <f>E644*Assumptions!$B$7</f>
        <v/>
      </c>
      <c r="G644" s="9" t="n">
        <v>0.0386</v>
      </c>
      <c r="H644" t="inlineStr">
        <is>
          <t>Low</t>
        </is>
      </c>
      <c r="I644">
        <f>IF(G644&gt;=Assumptions!$B$4,"Yes","No")</f>
        <v/>
      </c>
      <c r="J644" s="8">
        <f>F644*Assumptions!$B$6</f>
        <v/>
      </c>
      <c r="K644" s="10">
        <f>G644*J644</f>
        <v/>
      </c>
      <c r="L644" s="10">
        <f>IF(I644="Yes",G644*Assumptions!$B$5*J644,0)</f>
        <v/>
      </c>
    </row>
    <row r="645">
      <c r="A645" t="n">
        <v>984</v>
      </c>
      <c r="B645" t="inlineStr">
        <is>
          <t>Sales</t>
        </is>
      </c>
      <c r="C645" t="inlineStr">
        <is>
          <t>Sales Executive</t>
        </is>
      </c>
      <c r="D645" t="inlineStr">
        <is>
          <t>No</t>
        </is>
      </c>
      <c r="E645" s="8" t="n">
        <v>7823</v>
      </c>
      <c r="F645" s="8">
        <f>E645*Assumptions!$B$7</f>
        <v/>
      </c>
      <c r="G645" s="9" t="n">
        <v>0.0385</v>
      </c>
      <c r="H645" t="inlineStr">
        <is>
          <t>Low</t>
        </is>
      </c>
      <c r="I645">
        <f>IF(G645&gt;=Assumptions!$B$4,"Yes","No")</f>
        <v/>
      </c>
      <c r="J645" s="8">
        <f>F645*Assumptions!$B$6</f>
        <v/>
      </c>
      <c r="K645" s="10">
        <f>G645*J645</f>
        <v/>
      </c>
      <c r="L645" s="10">
        <f>IF(I645="Yes",G645*Assumptions!$B$5*J645,0)</f>
        <v/>
      </c>
    </row>
    <row r="646">
      <c r="A646" t="n">
        <v>1307</v>
      </c>
      <c r="B646" t="inlineStr">
        <is>
          <t>Research &amp; Development</t>
        </is>
      </c>
      <c r="C646" t="inlineStr">
        <is>
          <t>Manager</t>
        </is>
      </c>
      <c r="D646" t="inlineStr">
        <is>
          <t>Yes</t>
        </is>
      </c>
      <c r="E646" s="8" t="n">
        <v>17123</v>
      </c>
      <c r="F646" s="8">
        <f>E646*Assumptions!$B$7</f>
        <v/>
      </c>
      <c r="G646" s="9" t="n">
        <v>0.0385</v>
      </c>
      <c r="H646" t="inlineStr">
        <is>
          <t>Low</t>
        </is>
      </c>
      <c r="I646">
        <f>IF(G646&gt;=Assumptions!$B$4,"Yes","No")</f>
        <v/>
      </c>
      <c r="J646" s="8">
        <f>F646*Assumptions!$B$6</f>
        <v/>
      </c>
      <c r="K646" s="10">
        <f>G646*J646</f>
        <v/>
      </c>
      <c r="L646" s="10">
        <f>IF(I646="Yes",G646*Assumptions!$B$5*J646,0)</f>
        <v/>
      </c>
    </row>
    <row r="647">
      <c r="A647" t="n">
        <v>1191</v>
      </c>
      <c r="B647" t="inlineStr">
        <is>
          <t>Research &amp; Development</t>
        </is>
      </c>
      <c r="C647" t="inlineStr">
        <is>
          <t>Manager</t>
        </is>
      </c>
      <c r="D647" t="inlineStr">
        <is>
          <t>No</t>
        </is>
      </c>
      <c r="E647" s="8" t="n">
        <v>19943</v>
      </c>
      <c r="F647" s="8">
        <f>E647*Assumptions!$B$7</f>
        <v/>
      </c>
      <c r="G647" s="9" t="n">
        <v>0.0385</v>
      </c>
      <c r="H647" t="inlineStr">
        <is>
          <t>Low</t>
        </is>
      </c>
      <c r="I647">
        <f>IF(G647&gt;=Assumptions!$B$4,"Yes","No")</f>
        <v/>
      </c>
      <c r="J647" s="8">
        <f>F647*Assumptions!$B$6</f>
        <v/>
      </c>
      <c r="K647" s="10">
        <f>G647*J647</f>
        <v/>
      </c>
      <c r="L647" s="10">
        <f>IF(I647="Yes",G647*Assumptions!$B$5*J647,0)</f>
        <v/>
      </c>
    </row>
    <row r="648">
      <c r="A648" t="n">
        <v>644</v>
      </c>
      <c r="B648" t="inlineStr">
        <is>
          <t>Human Resources</t>
        </is>
      </c>
      <c r="C648" t="inlineStr">
        <is>
          <t>Manager</t>
        </is>
      </c>
      <c r="D648" t="inlineStr">
        <is>
          <t>No</t>
        </is>
      </c>
      <c r="E648" s="8" t="n">
        <v>18200</v>
      </c>
      <c r="F648" s="8">
        <f>E648*Assumptions!$B$7</f>
        <v/>
      </c>
      <c r="G648" s="9" t="n">
        <v>0.0385</v>
      </c>
      <c r="H648" t="inlineStr">
        <is>
          <t>Low</t>
        </is>
      </c>
      <c r="I648">
        <f>IF(G648&gt;=Assumptions!$B$4,"Yes","No")</f>
        <v/>
      </c>
      <c r="J648" s="8">
        <f>F648*Assumptions!$B$6</f>
        <v/>
      </c>
      <c r="K648" s="10">
        <f>G648*J648</f>
        <v/>
      </c>
      <c r="L648" s="10">
        <f>IF(I648="Yes",G648*Assumptions!$B$5*J648,0)</f>
        <v/>
      </c>
    </row>
    <row r="649">
      <c r="A649" t="n">
        <v>158</v>
      </c>
      <c r="B649" t="inlineStr">
        <is>
          <t>Sales</t>
        </is>
      </c>
      <c r="C649" t="inlineStr">
        <is>
          <t>Manager</t>
        </is>
      </c>
      <c r="D649" t="inlineStr">
        <is>
          <t>Yes</t>
        </is>
      </c>
      <c r="E649" s="8" t="n">
        <v>16959</v>
      </c>
      <c r="F649" s="8">
        <f>E649*Assumptions!$B$7</f>
        <v/>
      </c>
      <c r="G649" s="9" t="n">
        <v>0.0384</v>
      </c>
      <c r="H649" t="inlineStr">
        <is>
          <t>Low</t>
        </is>
      </c>
      <c r="I649">
        <f>IF(G649&gt;=Assumptions!$B$4,"Yes","No")</f>
        <v/>
      </c>
      <c r="J649" s="8">
        <f>F649*Assumptions!$B$6</f>
        <v/>
      </c>
      <c r="K649" s="10">
        <f>G649*J649</f>
        <v/>
      </c>
      <c r="L649" s="10">
        <f>IF(I649="Yes",G649*Assumptions!$B$5*J649,0)</f>
        <v/>
      </c>
    </row>
    <row r="650">
      <c r="A650" t="n">
        <v>1564</v>
      </c>
      <c r="B650" t="inlineStr">
        <is>
          <t>Research &amp; Development</t>
        </is>
      </c>
      <c r="C650" t="inlineStr">
        <is>
          <t>Laboratory Technician</t>
        </is>
      </c>
      <c r="D650" t="inlineStr">
        <is>
          <t>No</t>
        </is>
      </c>
      <c r="E650" s="8" t="n">
        <v>2450</v>
      </c>
      <c r="F650" s="8">
        <f>E650*Assumptions!$B$7</f>
        <v/>
      </c>
      <c r="G650" s="9" t="n">
        <v>0.0382</v>
      </c>
      <c r="H650" t="inlineStr">
        <is>
          <t>Low</t>
        </is>
      </c>
      <c r="I650">
        <f>IF(G650&gt;=Assumptions!$B$4,"Yes","No")</f>
        <v/>
      </c>
      <c r="J650" s="8">
        <f>F650*Assumptions!$B$6</f>
        <v/>
      </c>
      <c r="K650" s="10">
        <f>G650*J650</f>
        <v/>
      </c>
      <c r="L650" s="10">
        <f>IF(I650="Yes",G650*Assumptions!$B$5*J650,0)</f>
        <v/>
      </c>
    </row>
    <row r="651">
      <c r="A651" t="n">
        <v>1789</v>
      </c>
      <c r="B651" t="inlineStr">
        <is>
          <t>Research &amp; Development</t>
        </is>
      </c>
      <c r="C651" t="inlineStr">
        <is>
          <t>Research Director</t>
        </is>
      </c>
      <c r="D651" t="inlineStr">
        <is>
          <t>Yes</t>
        </is>
      </c>
      <c r="E651" s="8" t="n">
        <v>19328</v>
      </c>
      <c r="F651" s="8">
        <f>E651*Assumptions!$B$7</f>
        <v/>
      </c>
      <c r="G651" s="9" t="n">
        <v>0.038</v>
      </c>
      <c r="H651" t="inlineStr">
        <is>
          <t>Low</t>
        </is>
      </c>
      <c r="I651">
        <f>IF(G651&gt;=Assumptions!$B$4,"Yes","No")</f>
        <v/>
      </c>
      <c r="J651" s="8">
        <f>F651*Assumptions!$B$6</f>
        <v/>
      </c>
      <c r="K651" s="10">
        <f>G651*J651</f>
        <v/>
      </c>
      <c r="L651" s="10">
        <f>IF(I651="Yes",G651*Assumptions!$B$5*J651,0)</f>
        <v/>
      </c>
    </row>
    <row r="652">
      <c r="A652" t="n">
        <v>1952</v>
      </c>
      <c r="B652" t="inlineStr">
        <is>
          <t>Research &amp; Development</t>
        </is>
      </c>
      <c r="C652" t="inlineStr">
        <is>
          <t>Laboratory Technician</t>
        </is>
      </c>
      <c r="D652" t="inlineStr">
        <is>
          <t>No</t>
        </is>
      </c>
      <c r="E652" s="8" t="n">
        <v>2867</v>
      </c>
      <c r="F652" s="8">
        <f>E652*Assumptions!$B$7</f>
        <v/>
      </c>
      <c r="G652" s="9" t="n">
        <v>0.038</v>
      </c>
      <c r="H652" t="inlineStr">
        <is>
          <t>Low</t>
        </is>
      </c>
      <c r="I652">
        <f>IF(G652&gt;=Assumptions!$B$4,"Yes","No")</f>
        <v/>
      </c>
      <c r="J652" s="8">
        <f>F652*Assumptions!$B$6</f>
        <v/>
      </c>
      <c r="K652" s="10">
        <f>G652*J652</f>
        <v/>
      </c>
      <c r="L652" s="10">
        <f>IF(I652="Yes",G652*Assumptions!$B$5*J652,0)</f>
        <v/>
      </c>
    </row>
    <row r="653">
      <c r="A653" t="n">
        <v>102</v>
      </c>
      <c r="B653" t="inlineStr">
        <is>
          <t>Research &amp; Development</t>
        </is>
      </c>
      <c r="C653" t="inlineStr">
        <is>
          <t>Research Director</t>
        </is>
      </c>
      <c r="D653" t="inlineStr">
        <is>
          <t>No</t>
        </is>
      </c>
      <c r="E653" s="8" t="n">
        <v>13664</v>
      </c>
      <c r="F653" s="8">
        <f>E653*Assumptions!$B$7</f>
        <v/>
      </c>
      <c r="G653" s="9" t="n">
        <v>0.0378</v>
      </c>
      <c r="H653" t="inlineStr">
        <is>
          <t>Low</t>
        </is>
      </c>
      <c r="I653">
        <f>IF(G653&gt;=Assumptions!$B$4,"Yes","No")</f>
        <v/>
      </c>
      <c r="J653" s="8">
        <f>F653*Assumptions!$B$6</f>
        <v/>
      </c>
      <c r="K653" s="10">
        <f>G653*J653</f>
        <v/>
      </c>
      <c r="L653" s="10">
        <f>IF(I653="Yes",G653*Assumptions!$B$5*J653,0)</f>
        <v/>
      </c>
    </row>
    <row r="654">
      <c r="A654" t="n">
        <v>1311</v>
      </c>
      <c r="B654" t="inlineStr">
        <is>
          <t>Research &amp; Development</t>
        </is>
      </c>
      <c r="C654" t="inlineStr">
        <is>
          <t>Laboratory Technician</t>
        </is>
      </c>
      <c r="D654" t="inlineStr">
        <is>
          <t>No</t>
        </is>
      </c>
      <c r="E654" s="8" t="n">
        <v>4627</v>
      </c>
      <c r="F654" s="8">
        <f>E654*Assumptions!$B$7</f>
        <v/>
      </c>
      <c r="G654" s="9" t="n">
        <v>0.0377</v>
      </c>
      <c r="H654" t="inlineStr">
        <is>
          <t>Low</t>
        </is>
      </c>
      <c r="I654">
        <f>IF(G654&gt;=Assumptions!$B$4,"Yes","No")</f>
        <v/>
      </c>
      <c r="J654" s="8">
        <f>F654*Assumptions!$B$6</f>
        <v/>
      </c>
      <c r="K654" s="10">
        <f>G654*J654</f>
        <v/>
      </c>
      <c r="L654" s="10">
        <f>IF(I654="Yes",G654*Assumptions!$B$5*J654,0)</f>
        <v/>
      </c>
    </row>
    <row r="655">
      <c r="A655" t="n">
        <v>148</v>
      </c>
      <c r="B655" t="inlineStr">
        <is>
          <t>Human Resources</t>
        </is>
      </c>
      <c r="C655" t="inlineStr">
        <is>
          <t>Manager</t>
        </is>
      </c>
      <c r="D655" t="inlineStr">
        <is>
          <t>Yes</t>
        </is>
      </c>
      <c r="E655" s="8" t="n">
        <v>17328</v>
      </c>
      <c r="F655" s="8">
        <f>E655*Assumptions!$B$7</f>
        <v/>
      </c>
      <c r="G655" s="9" t="n">
        <v>0.0377</v>
      </c>
      <c r="H655" t="inlineStr">
        <is>
          <t>Low</t>
        </is>
      </c>
      <c r="I655">
        <f>IF(G655&gt;=Assumptions!$B$4,"Yes","No")</f>
        <v/>
      </c>
      <c r="J655" s="8">
        <f>F655*Assumptions!$B$6</f>
        <v/>
      </c>
      <c r="K655" s="10">
        <f>G655*J655</f>
        <v/>
      </c>
      <c r="L655" s="10">
        <f>IF(I655="Yes",G655*Assumptions!$B$5*J655,0)</f>
        <v/>
      </c>
    </row>
    <row r="656">
      <c r="A656" t="n">
        <v>1542</v>
      </c>
      <c r="B656" t="inlineStr">
        <is>
          <t>Research &amp; Development</t>
        </is>
      </c>
      <c r="C656" t="inlineStr">
        <is>
          <t>Laboratory Technician</t>
        </is>
      </c>
      <c r="D656" t="inlineStr">
        <is>
          <t>No</t>
        </is>
      </c>
      <c r="E656" s="8" t="n">
        <v>4841</v>
      </c>
      <c r="F656" s="8">
        <f>E656*Assumptions!$B$7</f>
        <v/>
      </c>
      <c r="G656" s="9" t="n">
        <v>0.0375</v>
      </c>
      <c r="H656" t="inlineStr">
        <is>
          <t>Low</t>
        </is>
      </c>
      <c r="I656">
        <f>IF(G656&gt;=Assumptions!$B$4,"Yes","No")</f>
        <v/>
      </c>
      <c r="J656" s="8">
        <f>F656*Assumptions!$B$6</f>
        <v/>
      </c>
      <c r="K656" s="10">
        <f>G656*J656</f>
        <v/>
      </c>
      <c r="L656" s="10">
        <f>IF(I656="Yes",G656*Assumptions!$B$5*J656,0)</f>
        <v/>
      </c>
    </row>
    <row r="657">
      <c r="A657" t="n">
        <v>620</v>
      </c>
      <c r="B657" t="inlineStr">
        <is>
          <t>Sales</t>
        </is>
      </c>
      <c r="C657" t="inlineStr">
        <is>
          <t>Sales Executive</t>
        </is>
      </c>
      <c r="D657" t="inlineStr">
        <is>
          <t>No</t>
        </is>
      </c>
      <c r="E657" s="8" t="n">
        <v>4859</v>
      </c>
      <c r="F657" s="8">
        <f>E657*Assumptions!$B$7</f>
        <v/>
      </c>
      <c r="G657" s="9" t="n">
        <v>0.0374</v>
      </c>
      <c r="H657" t="inlineStr">
        <is>
          <t>Low</t>
        </is>
      </c>
      <c r="I657">
        <f>IF(G657&gt;=Assumptions!$B$4,"Yes","No")</f>
        <v/>
      </c>
      <c r="J657" s="8">
        <f>F657*Assumptions!$B$6</f>
        <v/>
      </c>
      <c r="K657" s="10">
        <f>G657*J657</f>
        <v/>
      </c>
      <c r="L657" s="10">
        <f>IF(I657="Yes",G657*Assumptions!$B$5*J657,0)</f>
        <v/>
      </c>
    </row>
    <row r="658">
      <c r="A658" t="n">
        <v>1177</v>
      </c>
      <c r="B658" t="inlineStr">
        <is>
          <t>Research &amp; Development</t>
        </is>
      </c>
      <c r="C658" t="inlineStr">
        <is>
          <t>Laboratory Technician</t>
        </is>
      </c>
      <c r="D658" t="inlineStr">
        <is>
          <t>No</t>
        </is>
      </c>
      <c r="E658" s="8" t="n">
        <v>4420</v>
      </c>
      <c r="F658" s="8">
        <f>E658*Assumptions!$B$7</f>
        <v/>
      </c>
      <c r="G658" s="9" t="n">
        <v>0.0374</v>
      </c>
      <c r="H658" t="inlineStr">
        <is>
          <t>Low</t>
        </is>
      </c>
      <c r="I658">
        <f>IF(G658&gt;=Assumptions!$B$4,"Yes","No")</f>
        <v/>
      </c>
      <c r="J658" s="8">
        <f>F658*Assumptions!$B$6</f>
        <v/>
      </c>
      <c r="K658" s="10">
        <f>G658*J658</f>
        <v/>
      </c>
      <c r="L658" s="10">
        <f>IF(I658="Yes",G658*Assumptions!$B$5*J658,0)</f>
        <v/>
      </c>
    </row>
    <row r="659">
      <c r="A659" t="n">
        <v>562</v>
      </c>
      <c r="B659" t="inlineStr">
        <is>
          <t>Research &amp; Development</t>
        </is>
      </c>
      <c r="C659" t="inlineStr">
        <is>
          <t>Laboratory Technician</t>
        </is>
      </c>
      <c r="D659" t="inlineStr">
        <is>
          <t>No</t>
        </is>
      </c>
      <c r="E659" s="8" t="n">
        <v>2097</v>
      </c>
      <c r="F659" s="8">
        <f>E659*Assumptions!$B$7</f>
        <v/>
      </c>
      <c r="G659" s="9" t="n">
        <v>0.0373</v>
      </c>
      <c r="H659" t="inlineStr">
        <is>
          <t>Low</t>
        </is>
      </c>
      <c r="I659">
        <f>IF(G659&gt;=Assumptions!$B$4,"Yes","No")</f>
        <v/>
      </c>
      <c r="J659" s="8">
        <f>F659*Assumptions!$B$6</f>
        <v/>
      </c>
      <c r="K659" s="10">
        <f>G659*J659</f>
        <v/>
      </c>
      <c r="L659" s="10">
        <f>IF(I659="Yes",G659*Assumptions!$B$5*J659,0)</f>
        <v/>
      </c>
    </row>
    <row r="660">
      <c r="A660" t="n">
        <v>1533</v>
      </c>
      <c r="B660" t="inlineStr">
        <is>
          <t>Research &amp; Development</t>
        </is>
      </c>
      <c r="C660" t="inlineStr">
        <is>
          <t>Laboratory Technician</t>
        </is>
      </c>
      <c r="D660" t="inlineStr">
        <is>
          <t>No</t>
        </is>
      </c>
      <c r="E660" s="8" t="n">
        <v>2272</v>
      </c>
      <c r="F660" s="8">
        <f>E660*Assumptions!$B$7</f>
        <v/>
      </c>
      <c r="G660" s="9" t="n">
        <v>0.037</v>
      </c>
      <c r="H660" t="inlineStr">
        <is>
          <t>Low</t>
        </is>
      </c>
      <c r="I660">
        <f>IF(G660&gt;=Assumptions!$B$4,"Yes","No")</f>
        <v/>
      </c>
      <c r="J660" s="8">
        <f>F660*Assumptions!$B$6</f>
        <v/>
      </c>
      <c r="K660" s="10">
        <f>G660*J660</f>
        <v/>
      </c>
      <c r="L660" s="10">
        <f>IF(I660="Yes",G660*Assumptions!$B$5*J660,0)</f>
        <v/>
      </c>
    </row>
    <row r="661">
      <c r="A661" t="n">
        <v>595</v>
      </c>
      <c r="B661" t="inlineStr">
        <is>
          <t>Sales</t>
        </is>
      </c>
      <c r="C661" t="inlineStr">
        <is>
          <t>Sales Executive</t>
        </is>
      </c>
      <c r="D661" t="inlineStr">
        <is>
          <t>No</t>
        </is>
      </c>
      <c r="E661" s="8" t="n">
        <v>4051</v>
      </c>
      <c r="F661" s="8">
        <f>E661*Assumptions!$B$7</f>
        <v/>
      </c>
      <c r="G661" s="9" t="n">
        <v>0.037</v>
      </c>
      <c r="H661" t="inlineStr">
        <is>
          <t>Low</t>
        </is>
      </c>
      <c r="I661">
        <f>IF(G661&gt;=Assumptions!$B$4,"Yes","No")</f>
        <v/>
      </c>
      <c r="J661" s="8">
        <f>F661*Assumptions!$B$6</f>
        <v/>
      </c>
      <c r="K661" s="10">
        <f>G661*J661</f>
        <v/>
      </c>
      <c r="L661" s="10">
        <f>IF(I661="Yes",G661*Assumptions!$B$5*J661,0)</f>
        <v/>
      </c>
    </row>
    <row r="662">
      <c r="A662" t="n">
        <v>1689</v>
      </c>
      <c r="B662" t="inlineStr">
        <is>
          <t>Research &amp; Development</t>
        </is>
      </c>
      <c r="C662" t="inlineStr">
        <is>
          <t>Healthcare Representative</t>
        </is>
      </c>
      <c r="D662" t="inlineStr">
        <is>
          <t>No</t>
        </is>
      </c>
      <c r="E662" s="8" t="n">
        <v>7005</v>
      </c>
      <c r="F662" s="8">
        <f>E662*Assumptions!$B$7</f>
        <v/>
      </c>
      <c r="G662" s="9" t="n">
        <v>0.0368</v>
      </c>
      <c r="H662" t="inlineStr">
        <is>
          <t>Low</t>
        </is>
      </c>
      <c r="I662">
        <f>IF(G662&gt;=Assumptions!$B$4,"Yes","No")</f>
        <v/>
      </c>
      <c r="J662" s="8">
        <f>F662*Assumptions!$B$6</f>
        <v/>
      </c>
      <c r="K662" s="10">
        <f>G662*J662</f>
        <v/>
      </c>
      <c r="L662" s="10">
        <f>IF(I662="Yes",G662*Assumptions!$B$5*J662,0)</f>
        <v/>
      </c>
    </row>
    <row r="663">
      <c r="A663" t="n">
        <v>1751</v>
      </c>
      <c r="B663" t="inlineStr">
        <is>
          <t>Research &amp; Development</t>
        </is>
      </c>
      <c r="C663" t="inlineStr">
        <is>
          <t>Research Scientist</t>
        </is>
      </c>
      <c r="D663" t="inlineStr">
        <is>
          <t>No</t>
        </is>
      </c>
      <c r="E663" s="8" t="n">
        <v>3445</v>
      </c>
      <c r="F663" s="8">
        <f>E663*Assumptions!$B$7</f>
        <v/>
      </c>
      <c r="G663" s="9" t="n">
        <v>0.0367</v>
      </c>
      <c r="H663" t="inlineStr">
        <is>
          <t>Low</t>
        </is>
      </c>
      <c r="I663">
        <f>IF(G663&gt;=Assumptions!$B$4,"Yes","No")</f>
        <v/>
      </c>
      <c r="J663" s="8">
        <f>F663*Assumptions!$B$6</f>
        <v/>
      </c>
      <c r="K663" s="10">
        <f>G663*J663</f>
        <v/>
      </c>
      <c r="L663" s="10">
        <f>IF(I663="Yes",G663*Assumptions!$B$5*J663,0)</f>
        <v/>
      </c>
    </row>
    <row r="664">
      <c r="A664" t="n">
        <v>850</v>
      </c>
      <c r="B664" t="inlineStr">
        <is>
          <t>Research &amp; Development</t>
        </is>
      </c>
      <c r="C664" t="inlineStr">
        <is>
          <t>Research Scientist</t>
        </is>
      </c>
      <c r="D664" t="inlineStr">
        <is>
          <t>No</t>
        </is>
      </c>
      <c r="E664" s="8" t="n">
        <v>1706</v>
      </c>
      <c r="F664" s="8">
        <f>E664*Assumptions!$B$7</f>
        <v/>
      </c>
      <c r="G664" s="9" t="n">
        <v>0.0363</v>
      </c>
      <c r="H664" t="inlineStr">
        <is>
          <t>Low</t>
        </is>
      </c>
      <c r="I664">
        <f>IF(G664&gt;=Assumptions!$B$4,"Yes","No")</f>
        <v/>
      </c>
      <c r="J664" s="8">
        <f>F664*Assumptions!$B$6</f>
        <v/>
      </c>
      <c r="K664" s="10">
        <f>G664*J664</f>
        <v/>
      </c>
      <c r="L664" s="10">
        <f>IF(I664="Yes",G664*Assumptions!$B$5*J664,0)</f>
        <v/>
      </c>
    </row>
    <row r="665">
      <c r="A665" t="n">
        <v>1034</v>
      </c>
      <c r="B665" t="inlineStr">
        <is>
          <t>Research &amp; Development</t>
        </is>
      </c>
      <c r="C665" t="inlineStr">
        <is>
          <t>Healthcare Representative</t>
        </is>
      </c>
      <c r="D665" t="inlineStr">
        <is>
          <t>Yes</t>
        </is>
      </c>
      <c r="E665" s="8" t="n">
        <v>6385</v>
      </c>
      <c r="F665" s="8">
        <f>E665*Assumptions!$B$7</f>
        <v/>
      </c>
      <c r="G665" s="9" t="n">
        <v>0.0363</v>
      </c>
      <c r="H665" t="inlineStr">
        <is>
          <t>Low</t>
        </is>
      </c>
      <c r="I665">
        <f>IF(G665&gt;=Assumptions!$B$4,"Yes","No")</f>
        <v/>
      </c>
      <c r="J665" s="8">
        <f>F665*Assumptions!$B$6</f>
        <v/>
      </c>
      <c r="K665" s="10">
        <f>G665*J665</f>
        <v/>
      </c>
      <c r="L665" s="10">
        <f>IF(I665="Yes",G665*Assumptions!$B$5*J665,0)</f>
        <v/>
      </c>
    </row>
    <row r="666">
      <c r="A666" t="n">
        <v>1557</v>
      </c>
      <c r="B666" t="inlineStr">
        <is>
          <t>Sales</t>
        </is>
      </c>
      <c r="C666" t="inlineStr">
        <is>
          <t>Sales Executive</t>
        </is>
      </c>
      <c r="D666" t="inlineStr">
        <is>
          <t>No</t>
        </is>
      </c>
      <c r="E666" s="8" t="n">
        <v>6439</v>
      </c>
      <c r="F666" s="8">
        <f>E666*Assumptions!$B$7</f>
        <v/>
      </c>
      <c r="G666" s="9" t="n">
        <v>0.0362</v>
      </c>
      <c r="H666" t="inlineStr">
        <is>
          <t>Low</t>
        </is>
      </c>
      <c r="I666">
        <f>IF(G666&gt;=Assumptions!$B$4,"Yes","No")</f>
        <v/>
      </c>
      <c r="J666" s="8">
        <f>F666*Assumptions!$B$6</f>
        <v/>
      </c>
      <c r="K666" s="10">
        <f>G666*J666</f>
        <v/>
      </c>
      <c r="L666" s="10">
        <f>IF(I666="Yes",G666*Assumptions!$B$5*J666,0)</f>
        <v/>
      </c>
    </row>
    <row r="667">
      <c r="A667" t="n">
        <v>1466</v>
      </c>
      <c r="B667" t="inlineStr">
        <is>
          <t>Sales</t>
        </is>
      </c>
      <c r="C667" t="inlineStr">
        <is>
          <t>Sales Executive</t>
        </is>
      </c>
      <c r="D667" t="inlineStr">
        <is>
          <t>No</t>
        </is>
      </c>
      <c r="E667" s="8" t="n">
        <v>5486</v>
      </c>
      <c r="F667" s="8">
        <f>E667*Assumptions!$B$7</f>
        <v/>
      </c>
      <c r="G667" s="9" t="n">
        <v>0.036</v>
      </c>
      <c r="H667" t="inlineStr">
        <is>
          <t>Low</t>
        </is>
      </c>
      <c r="I667">
        <f>IF(G667&gt;=Assumptions!$B$4,"Yes","No")</f>
        <v/>
      </c>
      <c r="J667" s="8">
        <f>F667*Assumptions!$B$6</f>
        <v/>
      </c>
      <c r="K667" s="10">
        <f>G667*J667</f>
        <v/>
      </c>
      <c r="L667" s="10">
        <f>IF(I667="Yes",G667*Assumptions!$B$5*J667,0)</f>
        <v/>
      </c>
    </row>
    <row r="668">
      <c r="A668" t="n">
        <v>455</v>
      </c>
      <c r="B668" t="inlineStr">
        <is>
          <t>Research &amp; Development</t>
        </is>
      </c>
      <c r="C668" t="inlineStr">
        <is>
          <t>Laboratory Technician</t>
        </is>
      </c>
      <c r="D668" t="inlineStr">
        <is>
          <t>No</t>
        </is>
      </c>
      <c r="E668" s="8" t="n">
        <v>3983</v>
      </c>
      <c r="F668" s="8">
        <f>E668*Assumptions!$B$7</f>
        <v/>
      </c>
      <c r="G668" s="9" t="n">
        <v>0.0359</v>
      </c>
      <c r="H668" t="inlineStr">
        <is>
          <t>Low</t>
        </is>
      </c>
      <c r="I668">
        <f>IF(G668&gt;=Assumptions!$B$4,"Yes","No")</f>
        <v/>
      </c>
      <c r="J668" s="8">
        <f>F668*Assumptions!$B$6</f>
        <v/>
      </c>
      <c r="K668" s="10">
        <f>G668*J668</f>
        <v/>
      </c>
      <c r="L668" s="10">
        <f>IF(I668="Yes",G668*Assumptions!$B$5*J668,0)</f>
        <v/>
      </c>
    </row>
    <row r="669">
      <c r="A669" t="n">
        <v>2025</v>
      </c>
      <c r="B669" t="inlineStr">
        <is>
          <t>Research &amp; Development</t>
        </is>
      </c>
      <c r="C669" t="inlineStr">
        <is>
          <t>Manufacturing Director</t>
        </is>
      </c>
      <c r="D669" t="inlineStr">
        <is>
          <t>No</t>
        </is>
      </c>
      <c r="E669" s="8" t="n">
        <v>5131</v>
      </c>
      <c r="F669" s="8">
        <f>E669*Assumptions!$B$7</f>
        <v/>
      </c>
      <c r="G669" s="9" t="n">
        <v>0.0359</v>
      </c>
      <c r="H669" t="inlineStr">
        <is>
          <t>Low</t>
        </is>
      </c>
      <c r="I669">
        <f>IF(G669&gt;=Assumptions!$B$4,"Yes","No")</f>
        <v/>
      </c>
      <c r="J669" s="8">
        <f>F669*Assumptions!$B$6</f>
        <v/>
      </c>
      <c r="K669" s="10">
        <f>G669*J669</f>
        <v/>
      </c>
      <c r="L669" s="10">
        <f>IF(I669="Yes",G669*Assumptions!$B$5*J669,0)</f>
        <v/>
      </c>
    </row>
    <row r="670">
      <c r="A670" t="n">
        <v>1352</v>
      </c>
      <c r="B670" t="inlineStr">
        <is>
          <t>Human Resources</t>
        </is>
      </c>
      <c r="C670" t="inlineStr">
        <is>
          <t>Manager</t>
        </is>
      </c>
      <c r="D670" t="inlineStr">
        <is>
          <t>Yes</t>
        </is>
      </c>
      <c r="E670" s="8" t="n">
        <v>14026</v>
      </c>
      <c r="F670" s="8">
        <f>E670*Assumptions!$B$7</f>
        <v/>
      </c>
      <c r="G670" s="9" t="n">
        <v>0.0356</v>
      </c>
      <c r="H670" t="inlineStr">
        <is>
          <t>Low</t>
        </is>
      </c>
      <c r="I670">
        <f>IF(G670&gt;=Assumptions!$B$4,"Yes","No")</f>
        <v/>
      </c>
      <c r="J670" s="8">
        <f>F670*Assumptions!$B$6</f>
        <v/>
      </c>
      <c r="K670" s="10">
        <f>G670*J670</f>
        <v/>
      </c>
      <c r="L670" s="10">
        <f>IF(I670="Yes",G670*Assumptions!$B$5*J670,0)</f>
        <v/>
      </c>
    </row>
    <row r="671">
      <c r="A671" t="n">
        <v>961</v>
      </c>
      <c r="B671" t="inlineStr">
        <is>
          <t>Research &amp; Development</t>
        </is>
      </c>
      <c r="C671" t="inlineStr">
        <is>
          <t>Healthcare Representative</t>
        </is>
      </c>
      <c r="D671" t="inlineStr">
        <is>
          <t>Yes</t>
        </is>
      </c>
      <c r="E671" s="8" t="n">
        <v>5855</v>
      </c>
      <c r="F671" s="8">
        <f>E671*Assumptions!$B$7</f>
        <v/>
      </c>
      <c r="G671" s="9" t="n">
        <v>0.0355</v>
      </c>
      <c r="H671" t="inlineStr">
        <is>
          <t>Low</t>
        </is>
      </c>
      <c r="I671">
        <f>IF(G671&gt;=Assumptions!$B$4,"Yes","No")</f>
        <v/>
      </c>
      <c r="J671" s="8">
        <f>F671*Assumptions!$B$6</f>
        <v/>
      </c>
      <c r="K671" s="10">
        <f>G671*J671</f>
        <v/>
      </c>
      <c r="L671" s="10">
        <f>IF(I671="Yes",G671*Assumptions!$B$5*J671,0)</f>
        <v/>
      </c>
    </row>
    <row r="672">
      <c r="A672" t="n">
        <v>1485</v>
      </c>
      <c r="B672" t="inlineStr">
        <is>
          <t>Research &amp; Development</t>
        </is>
      </c>
      <c r="C672" t="inlineStr">
        <is>
          <t>Research Director</t>
        </is>
      </c>
      <c r="D672" t="inlineStr">
        <is>
          <t>No</t>
        </is>
      </c>
      <c r="E672" s="8" t="n">
        <v>17007</v>
      </c>
      <c r="F672" s="8">
        <f>E672*Assumptions!$B$7</f>
        <v/>
      </c>
      <c r="G672" s="9" t="n">
        <v>0.0354</v>
      </c>
      <c r="H672" t="inlineStr">
        <is>
          <t>Low</t>
        </is>
      </c>
      <c r="I672">
        <f>IF(G672&gt;=Assumptions!$B$4,"Yes","No")</f>
        <v/>
      </c>
      <c r="J672" s="8">
        <f>F672*Assumptions!$B$6</f>
        <v/>
      </c>
      <c r="K672" s="10">
        <f>G672*J672</f>
        <v/>
      </c>
      <c r="L672" s="10">
        <f>IF(I672="Yes",G672*Assumptions!$B$5*J672,0)</f>
        <v/>
      </c>
    </row>
    <row r="673">
      <c r="A673" t="n">
        <v>1120</v>
      </c>
      <c r="B673" t="inlineStr">
        <is>
          <t>Research &amp; Development</t>
        </is>
      </c>
      <c r="C673" t="inlineStr">
        <is>
          <t>Research Scientist</t>
        </is>
      </c>
      <c r="D673" t="inlineStr">
        <is>
          <t>No</t>
        </is>
      </c>
      <c r="E673" s="8" t="n">
        <v>2514</v>
      </c>
      <c r="F673" s="8">
        <f>E673*Assumptions!$B$7</f>
        <v/>
      </c>
      <c r="G673" s="9" t="n">
        <v>0.0354</v>
      </c>
      <c r="H673" t="inlineStr">
        <is>
          <t>Low</t>
        </is>
      </c>
      <c r="I673">
        <f>IF(G673&gt;=Assumptions!$B$4,"Yes","No")</f>
        <v/>
      </c>
      <c r="J673" s="8">
        <f>F673*Assumptions!$B$6</f>
        <v/>
      </c>
      <c r="K673" s="10">
        <f>G673*J673</f>
        <v/>
      </c>
      <c r="L673" s="10">
        <f>IF(I673="Yes",G673*Assumptions!$B$5*J673,0)</f>
        <v/>
      </c>
    </row>
    <row r="674">
      <c r="A674" t="n">
        <v>353</v>
      </c>
      <c r="B674" t="inlineStr">
        <is>
          <t>Research &amp; Development</t>
        </is>
      </c>
      <c r="C674" t="inlineStr">
        <is>
          <t>Research Scientist</t>
        </is>
      </c>
      <c r="D674" t="inlineStr">
        <is>
          <t>No</t>
        </is>
      </c>
      <c r="E674" s="8" t="n">
        <v>2723</v>
      </c>
      <c r="F674" s="8">
        <f>E674*Assumptions!$B$7</f>
        <v/>
      </c>
      <c r="G674" s="9" t="n">
        <v>0.0353</v>
      </c>
      <c r="H674" t="inlineStr">
        <is>
          <t>Low</t>
        </is>
      </c>
      <c r="I674">
        <f>IF(G674&gt;=Assumptions!$B$4,"Yes","No")</f>
        <v/>
      </c>
      <c r="J674" s="8">
        <f>F674*Assumptions!$B$6</f>
        <v/>
      </c>
      <c r="K674" s="10">
        <f>G674*J674</f>
        <v/>
      </c>
      <c r="L674" s="10">
        <f>IF(I674="Yes",G674*Assumptions!$B$5*J674,0)</f>
        <v/>
      </c>
    </row>
    <row r="675">
      <c r="A675" t="n">
        <v>513</v>
      </c>
      <c r="B675" t="inlineStr">
        <is>
          <t>Sales</t>
        </is>
      </c>
      <c r="C675" t="inlineStr">
        <is>
          <t>Sales Executive</t>
        </is>
      </c>
      <c r="D675" t="inlineStr">
        <is>
          <t>No</t>
        </is>
      </c>
      <c r="E675" s="8" t="n">
        <v>7596</v>
      </c>
      <c r="F675" s="8">
        <f>E675*Assumptions!$B$7</f>
        <v/>
      </c>
      <c r="G675" s="9" t="n">
        <v>0.0353</v>
      </c>
      <c r="H675" t="inlineStr">
        <is>
          <t>Low</t>
        </is>
      </c>
      <c r="I675">
        <f>IF(G675&gt;=Assumptions!$B$4,"Yes","No")</f>
        <v/>
      </c>
      <c r="J675" s="8">
        <f>F675*Assumptions!$B$6</f>
        <v/>
      </c>
      <c r="K675" s="10">
        <f>G675*J675</f>
        <v/>
      </c>
      <c r="L675" s="10">
        <f>IF(I675="Yes",G675*Assumptions!$B$5*J675,0)</f>
        <v/>
      </c>
    </row>
    <row r="676">
      <c r="A676" t="n">
        <v>1252</v>
      </c>
      <c r="B676" t="inlineStr">
        <is>
          <t>Research &amp; Development</t>
        </is>
      </c>
      <c r="C676" t="inlineStr">
        <is>
          <t>Healthcare Representative</t>
        </is>
      </c>
      <c r="D676" t="inlineStr">
        <is>
          <t>No</t>
        </is>
      </c>
      <c r="E676" s="8" t="n">
        <v>6812</v>
      </c>
      <c r="F676" s="8">
        <f>E676*Assumptions!$B$7</f>
        <v/>
      </c>
      <c r="G676" s="9" t="n">
        <v>0.035</v>
      </c>
      <c r="H676" t="inlineStr">
        <is>
          <t>Low</t>
        </is>
      </c>
      <c r="I676">
        <f>IF(G676&gt;=Assumptions!$B$4,"Yes","No")</f>
        <v/>
      </c>
      <c r="J676" s="8">
        <f>F676*Assumptions!$B$6</f>
        <v/>
      </c>
      <c r="K676" s="10">
        <f>G676*J676</f>
        <v/>
      </c>
      <c r="L676" s="10">
        <f>IF(I676="Yes",G676*Assumptions!$B$5*J676,0)</f>
        <v/>
      </c>
    </row>
    <row r="677">
      <c r="A677" t="n">
        <v>844</v>
      </c>
      <c r="B677" t="inlineStr">
        <is>
          <t>Research &amp; Development</t>
        </is>
      </c>
      <c r="C677" t="inlineStr">
        <is>
          <t>Research Director</t>
        </is>
      </c>
      <c r="D677" t="inlineStr">
        <is>
          <t>Yes</t>
        </is>
      </c>
      <c r="E677" s="8" t="n">
        <v>12808</v>
      </c>
      <c r="F677" s="8">
        <f>E677*Assumptions!$B$7</f>
        <v/>
      </c>
      <c r="G677" s="9" t="n">
        <v>0.035</v>
      </c>
      <c r="H677" t="inlineStr">
        <is>
          <t>Low</t>
        </is>
      </c>
      <c r="I677">
        <f>IF(G677&gt;=Assumptions!$B$4,"Yes","No")</f>
        <v/>
      </c>
      <c r="J677" s="8">
        <f>F677*Assumptions!$B$6</f>
        <v/>
      </c>
      <c r="K677" s="10">
        <f>G677*J677</f>
        <v/>
      </c>
      <c r="L677" s="10">
        <f>IF(I677="Yes",G677*Assumptions!$B$5*J677,0)</f>
        <v/>
      </c>
    </row>
    <row r="678">
      <c r="A678" t="n">
        <v>1060</v>
      </c>
      <c r="B678" t="inlineStr">
        <is>
          <t>Research &amp; Development</t>
        </is>
      </c>
      <c r="C678" t="inlineStr">
        <is>
          <t>Research Scientist</t>
        </is>
      </c>
      <c r="D678" t="inlineStr">
        <is>
          <t>No</t>
        </is>
      </c>
      <c r="E678" s="8" t="n">
        <v>2821</v>
      </c>
      <c r="F678" s="8">
        <f>E678*Assumptions!$B$7</f>
        <v/>
      </c>
      <c r="G678" s="9" t="n">
        <v>0.0349</v>
      </c>
      <c r="H678" t="inlineStr">
        <is>
          <t>Low</t>
        </is>
      </c>
      <c r="I678">
        <f>IF(G678&gt;=Assumptions!$B$4,"Yes","No")</f>
        <v/>
      </c>
      <c r="J678" s="8">
        <f>F678*Assumptions!$B$6</f>
        <v/>
      </c>
      <c r="K678" s="10">
        <f>G678*J678</f>
        <v/>
      </c>
      <c r="L678" s="10">
        <f>IF(I678="Yes",G678*Assumptions!$B$5*J678,0)</f>
        <v/>
      </c>
    </row>
    <row r="679">
      <c r="A679" t="n">
        <v>1472</v>
      </c>
      <c r="B679" t="inlineStr">
        <is>
          <t>Research &amp; Development</t>
        </is>
      </c>
      <c r="C679" t="inlineStr">
        <is>
          <t>Research Director</t>
        </is>
      </c>
      <c r="D679" t="inlineStr">
        <is>
          <t>No</t>
        </is>
      </c>
      <c r="E679" s="8" t="n">
        <v>16598</v>
      </c>
      <c r="F679" s="8">
        <f>E679*Assumptions!$B$7</f>
        <v/>
      </c>
      <c r="G679" s="9" t="n">
        <v>0.0349</v>
      </c>
      <c r="H679" t="inlineStr">
        <is>
          <t>Low</t>
        </is>
      </c>
      <c r="I679">
        <f>IF(G679&gt;=Assumptions!$B$4,"Yes","No")</f>
        <v/>
      </c>
      <c r="J679" s="8">
        <f>F679*Assumptions!$B$6</f>
        <v/>
      </c>
      <c r="K679" s="10">
        <f>G679*J679</f>
        <v/>
      </c>
      <c r="L679" s="10">
        <f>IF(I679="Yes",G679*Assumptions!$B$5*J679,0)</f>
        <v/>
      </c>
    </row>
    <row r="680">
      <c r="A680" t="n">
        <v>606</v>
      </c>
      <c r="B680" t="inlineStr">
        <is>
          <t>Sales</t>
        </is>
      </c>
      <c r="C680" t="inlineStr">
        <is>
          <t>Sales Executive</t>
        </is>
      </c>
      <c r="D680" t="inlineStr">
        <is>
          <t>No</t>
        </is>
      </c>
      <c r="E680" s="8" t="n">
        <v>4805</v>
      </c>
      <c r="F680" s="8">
        <f>E680*Assumptions!$B$7</f>
        <v/>
      </c>
      <c r="G680" s="9" t="n">
        <v>0.0348</v>
      </c>
      <c r="H680" t="inlineStr">
        <is>
          <t>Low</t>
        </is>
      </c>
      <c r="I680">
        <f>IF(G680&gt;=Assumptions!$B$4,"Yes","No")</f>
        <v/>
      </c>
      <c r="J680" s="8">
        <f>F680*Assumptions!$B$6</f>
        <v/>
      </c>
      <c r="K680" s="10">
        <f>G680*J680</f>
        <v/>
      </c>
      <c r="L680" s="10">
        <f>IF(I680="Yes",G680*Assumptions!$B$5*J680,0)</f>
        <v/>
      </c>
    </row>
    <row r="681">
      <c r="A681" t="n">
        <v>1815</v>
      </c>
      <c r="B681" t="inlineStr">
        <is>
          <t>Sales</t>
        </is>
      </c>
      <c r="C681" t="inlineStr">
        <is>
          <t>Sales Executive</t>
        </is>
      </c>
      <c r="D681" t="inlineStr">
        <is>
          <t>Yes</t>
        </is>
      </c>
      <c r="E681" s="8" t="n">
        <v>10447</v>
      </c>
      <c r="F681" s="8">
        <f>E681*Assumptions!$B$7</f>
        <v/>
      </c>
      <c r="G681" s="9" t="n">
        <v>0.0348</v>
      </c>
      <c r="H681" t="inlineStr">
        <is>
          <t>Low</t>
        </is>
      </c>
      <c r="I681">
        <f>IF(G681&gt;=Assumptions!$B$4,"Yes","No")</f>
        <v/>
      </c>
      <c r="J681" s="8">
        <f>F681*Assumptions!$B$6</f>
        <v/>
      </c>
      <c r="K681" s="10">
        <f>G681*J681</f>
        <v/>
      </c>
      <c r="L681" s="10">
        <f>IF(I681="Yes",G681*Assumptions!$B$5*J681,0)</f>
        <v/>
      </c>
    </row>
    <row r="682">
      <c r="A682" t="n">
        <v>160</v>
      </c>
      <c r="B682" t="inlineStr">
        <is>
          <t>Sales</t>
        </is>
      </c>
      <c r="C682" t="inlineStr">
        <is>
          <t>Sales Executive</t>
        </is>
      </c>
      <c r="D682" t="inlineStr">
        <is>
          <t>No</t>
        </is>
      </c>
      <c r="E682" s="8" t="n">
        <v>6146</v>
      </c>
      <c r="F682" s="8">
        <f>E682*Assumptions!$B$7</f>
        <v/>
      </c>
      <c r="G682" s="9" t="n">
        <v>0.0348</v>
      </c>
      <c r="H682" t="inlineStr">
        <is>
          <t>Low</t>
        </is>
      </c>
      <c r="I682">
        <f>IF(G682&gt;=Assumptions!$B$4,"Yes","No")</f>
        <v/>
      </c>
      <c r="J682" s="8">
        <f>F682*Assumptions!$B$6</f>
        <v/>
      </c>
      <c r="K682" s="10">
        <f>G682*J682</f>
        <v/>
      </c>
      <c r="L682" s="10">
        <f>IF(I682="Yes",G682*Assumptions!$B$5*J682,0)</f>
        <v/>
      </c>
    </row>
    <row r="683">
      <c r="A683" t="n">
        <v>349</v>
      </c>
      <c r="B683" t="inlineStr">
        <is>
          <t>Sales</t>
        </is>
      </c>
      <c r="C683" t="inlineStr">
        <is>
          <t>Sales Executive</t>
        </is>
      </c>
      <c r="D683" t="inlineStr">
        <is>
          <t>No</t>
        </is>
      </c>
      <c r="E683" s="8" t="n">
        <v>6931</v>
      </c>
      <c r="F683" s="8">
        <f>E683*Assumptions!$B$7</f>
        <v/>
      </c>
      <c r="G683" s="9" t="n">
        <v>0.0347</v>
      </c>
      <c r="H683" t="inlineStr">
        <is>
          <t>Low</t>
        </is>
      </c>
      <c r="I683">
        <f>IF(G683&gt;=Assumptions!$B$4,"Yes","No")</f>
        <v/>
      </c>
      <c r="J683" s="8">
        <f>F683*Assumptions!$B$6</f>
        <v/>
      </c>
      <c r="K683" s="10">
        <f>G683*J683</f>
        <v/>
      </c>
      <c r="L683" s="10">
        <f>IF(I683="Yes",G683*Assumptions!$B$5*J683,0)</f>
        <v/>
      </c>
    </row>
    <row r="684">
      <c r="A684" t="n">
        <v>335</v>
      </c>
      <c r="B684" t="inlineStr">
        <is>
          <t>Research &amp; Development</t>
        </is>
      </c>
      <c r="C684" t="inlineStr">
        <is>
          <t>Research Scientist</t>
        </is>
      </c>
      <c r="D684" t="inlineStr">
        <is>
          <t>No</t>
        </is>
      </c>
      <c r="E684" s="8" t="n">
        <v>3319</v>
      </c>
      <c r="F684" s="8">
        <f>E684*Assumptions!$B$7</f>
        <v/>
      </c>
      <c r="G684" s="9" t="n">
        <v>0.0346</v>
      </c>
      <c r="H684" t="inlineStr">
        <is>
          <t>Low</t>
        </is>
      </c>
      <c r="I684">
        <f>IF(G684&gt;=Assumptions!$B$4,"Yes","No")</f>
        <v/>
      </c>
      <c r="J684" s="8">
        <f>F684*Assumptions!$B$6</f>
        <v/>
      </c>
      <c r="K684" s="10">
        <f>G684*J684</f>
        <v/>
      </c>
      <c r="L684" s="10">
        <f>IF(I684="Yes",G684*Assumptions!$B$5*J684,0)</f>
        <v/>
      </c>
    </row>
    <row r="685">
      <c r="A685" t="n">
        <v>444</v>
      </c>
      <c r="B685" t="inlineStr">
        <is>
          <t>Research &amp; Development</t>
        </is>
      </c>
      <c r="C685" t="inlineStr">
        <is>
          <t>Manager</t>
        </is>
      </c>
      <c r="D685" t="inlineStr">
        <is>
          <t>No</t>
        </is>
      </c>
      <c r="E685" s="8" t="n">
        <v>19272</v>
      </c>
      <c r="F685" s="8">
        <f>E685*Assumptions!$B$7</f>
        <v/>
      </c>
      <c r="G685" s="9" t="n">
        <v>0.0346</v>
      </c>
      <c r="H685" t="inlineStr">
        <is>
          <t>Low</t>
        </is>
      </c>
      <c r="I685">
        <f>IF(G685&gt;=Assumptions!$B$4,"Yes","No")</f>
        <v/>
      </c>
      <c r="J685" s="8">
        <f>F685*Assumptions!$B$6</f>
        <v/>
      </c>
      <c r="K685" s="10">
        <f>G685*J685</f>
        <v/>
      </c>
      <c r="L685" s="10">
        <f>IF(I685="Yes",G685*Assumptions!$B$5*J685,0)</f>
        <v/>
      </c>
    </row>
    <row r="686">
      <c r="A686" t="n">
        <v>378</v>
      </c>
      <c r="B686" t="inlineStr">
        <is>
          <t>Sales</t>
        </is>
      </c>
      <c r="C686" t="inlineStr">
        <is>
          <t>Sales Executive</t>
        </is>
      </c>
      <c r="D686" t="inlineStr">
        <is>
          <t>No</t>
        </is>
      </c>
      <c r="E686" s="8" t="n">
        <v>6502</v>
      </c>
      <c r="F686" s="8">
        <f>E686*Assumptions!$B$7</f>
        <v/>
      </c>
      <c r="G686" s="9" t="n">
        <v>0.0345</v>
      </c>
      <c r="H686" t="inlineStr">
        <is>
          <t>Low</t>
        </is>
      </c>
      <c r="I686">
        <f>IF(G686&gt;=Assumptions!$B$4,"Yes","No")</f>
        <v/>
      </c>
      <c r="J686" s="8">
        <f>F686*Assumptions!$B$6</f>
        <v/>
      </c>
      <c r="K686" s="10">
        <f>G686*J686</f>
        <v/>
      </c>
      <c r="L686" s="10">
        <f>IF(I686="Yes",G686*Assumptions!$B$5*J686,0)</f>
        <v/>
      </c>
    </row>
    <row r="687">
      <c r="A687" t="n">
        <v>1857</v>
      </c>
      <c r="B687" t="inlineStr">
        <is>
          <t>Research &amp; Development</t>
        </is>
      </c>
      <c r="C687" t="inlineStr">
        <is>
          <t>Manufacturing Director</t>
        </is>
      </c>
      <c r="D687" t="inlineStr">
        <is>
          <t>No</t>
        </is>
      </c>
      <c r="E687" s="8" t="n">
        <v>8578</v>
      </c>
      <c r="F687" s="8">
        <f>E687*Assumptions!$B$7</f>
        <v/>
      </c>
      <c r="G687" s="9" t="n">
        <v>0.0345</v>
      </c>
      <c r="H687" t="inlineStr">
        <is>
          <t>Low</t>
        </is>
      </c>
      <c r="I687">
        <f>IF(G687&gt;=Assumptions!$B$4,"Yes","No")</f>
        <v/>
      </c>
      <c r="J687" s="8">
        <f>F687*Assumptions!$B$6</f>
        <v/>
      </c>
      <c r="K687" s="10">
        <f>G687*J687</f>
        <v/>
      </c>
      <c r="L687" s="10">
        <f>IF(I687="Yes",G687*Assumptions!$B$5*J687,0)</f>
        <v/>
      </c>
    </row>
    <row r="688">
      <c r="A688" t="n">
        <v>1932</v>
      </c>
      <c r="B688" t="inlineStr">
        <is>
          <t>Research &amp; Development</t>
        </is>
      </c>
      <c r="C688" t="inlineStr">
        <is>
          <t>Research Scientist</t>
        </is>
      </c>
      <c r="D688" t="inlineStr">
        <is>
          <t>Yes</t>
        </is>
      </c>
      <c r="E688" s="8" t="n">
        <v>5747</v>
      </c>
      <c r="F688" s="8">
        <f>E688*Assumptions!$B$7</f>
        <v/>
      </c>
      <c r="G688" s="9" t="n">
        <v>0.0344</v>
      </c>
      <c r="H688" t="inlineStr">
        <is>
          <t>Low</t>
        </is>
      </c>
      <c r="I688">
        <f>IF(G688&gt;=Assumptions!$B$4,"Yes","No")</f>
        <v/>
      </c>
      <c r="J688" s="8">
        <f>F688*Assumptions!$B$6</f>
        <v/>
      </c>
      <c r="K688" s="10">
        <f>G688*J688</f>
        <v/>
      </c>
      <c r="L688" s="10">
        <f>IF(I688="Yes",G688*Assumptions!$B$5*J688,0)</f>
        <v/>
      </c>
    </row>
    <row r="689">
      <c r="A689" t="n">
        <v>743</v>
      </c>
      <c r="B689" t="inlineStr">
        <is>
          <t>Research &amp; Development</t>
        </is>
      </c>
      <c r="C689" t="inlineStr">
        <is>
          <t>Manufacturing Director</t>
        </is>
      </c>
      <c r="D689" t="inlineStr">
        <is>
          <t>Yes</t>
        </is>
      </c>
      <c r="E689" s="8" t="n">
        <v>7861</v>
      </c>
      <c r="F689" s="8">
        <f>E689*Assumptions!$B$7</f>
        <v/>
      </c>
      <c r="G689" s="9" t="n">
        <v>0.0343</v>
      </c>
      <c r="H689" t="inlineStr">
        <is>
          <t>Low</t>
        </is>
      </c>
      <c r="I689">
        <f>IF(G689&gt;=Assumptions!$B$4,"Yes","No")</f>
        <v/>
      </c>
      <c r="J689" s="8">
        <f>F689*Assumptions!$B$6</f>
        <v/>
      </c>
      <c r="K689" s="10">
        <f>G689*J689</f>
        <v/>
      </c>
      <c r="L689" s="10">
        <f>IF(I689="Yes",G689*Assumptions!$B$5*J689,0)</f>
        <v/>
      </c>
    </row>
    <row r="690">
      <c r="A690" t="n">
        <v>1849</v>
      </c>
      <c r="B690" t="inlineStr">
        <is>
          <t>Sales</t>
        </is>
      </c>
      <c r="C690" t="inlineStr">
        <is>
          <t>Sales Executive</t>
        </is>
      </c>
      <c r="D690" t="inlineStr">
        <is>
          <t>No</t>
        </is>
      </c>
      <c r="E690" s="8" t="n">
        <v>5675</v>
      </c>
      <c r="F690" s="8">
        <f>E690*Assumptions!$B$7</f>
        <v/>
      </c>
      <c r="G690" s="9" t="n">
        <v>0.0343</v>
      </c>
      <c r="H690" t="inlineStr">
        <is>
          <t>Low</t>
        </is>
      </c>
      <c r="I690">
        <f>IF(G690&gt;=Assumptions!$B$4,"Yes","No")</f>
        <v/>
      </c>
      <c r="J690" s="8">
        <f>F690*Assumptions!$B$6</f>
        <v/>
      </c>
      <c r="K690" s="10">
        <f>G690*J690</f>
        <v/>
      </c>
      <c r="L690" s="10">
        <f>IF(I690="Yes",G690*Assumptions!$B$5*J690,0)</f>
        <v/>
      </c>
    </row>
    <row r="691">
      <c r="A691" t="n">
        <v>288</v>
      </c>
      <c r="B691" t="inlineStr">
        <is>
          <t>Research &amp; Development</t>
        </is>
      </c>
      <c r="C691" t="inlineStr">
        <is>
          <t>Healthcare Representative</t>
        </is>
      </c>
      <c r="D691" t="inlineStr">
        <is>
          <t>No</t>
        </is>
      </c>
      <c r="E691" s="8" t="n">
        <v>9396</v>
      </c>
      <c r="F691" s="8">
        <f>E691*Assumptions!$B$7</f>
        <v/>
      </c>
      <c r="G691" s="9" t="n">
        <v>0.0343</v>
      </c>
      <c r="H691" t="inlineStr">
        <is>
          <t>Low</t>
        </is>
      </c>
      <c r="I691">
        <f>IF(G691&gt;=Assumptions!$B$4,"Yes","No")</f>
        <v/>
      </c>
      <c r="J691" s="8">
        <f>F691*Assumptions!$B$6</f>
        <v/>
      </c>
      <c r="K691" s="10">
        <f>G691*J691</f>
        <v/>
      </c>
      <c r="L691" s="10">
        <f>IF(I691="Yes",G691*Assumptions!$B$5*J691,0)</f>
        <v/>
      </c>
    </row>
    <row r="692">
      <c r="A692" t="n">
        <v>1182</v>
      </c>
      <c r="B692" t="inlineStr">
        <is>
          <t>Research &amp; Development</t>
        </is>
      </c>
      <c r="C692" t="inlineStr">
        <is>
          <t>Manufacturing Director</t>
        </is>
      </c>
      <c r="D692" t="inlineStr">
        <is>
          <t>No</t>
        </is>
      </c>
      <c r="E692" s="8" t="n">
        <v>10274</v>
      </c>
      <c r="F692" s="8">
        <f>E692*Assumptions!$B$7</f>
        <v/>
      </c>
      <c r="G692" s="9" t="n">
        <v>0.0342</v>
      </c>
      <c r="H692" t="inlineStr">
        <is>
          <t>Low</t>
        </is>
      </c>
      <c r="I692">
        <f>IF(G692&gt;=Assumptions!$B$4,"Yes","No")</f>
        <v/>
      </c>
      <c r="J692" s="8">
        <f>F692*Assumptions!$B$6</f>
        <v/>
      </c>
      <c r="K692" s="10">
        <f>G692*J692</f>
        <v/>
      </c>
      <c r="L692" s="10">
        <f>IF(I692="Yes",G692*Assumptions!$B$5*J692,0)</f>
        <v/>
      </c>
    </row>
    <row r="693">
      <c r="A693" t="n">
        <v>170</v>
      </c>
      <c r="B693" t="inlineStr">
        <is>
          <t>Research &amp; Development</t>
        </is>
      </c>
      <c r="C693" t="inlineStr">
        <is>
          <t>Manufacturing Director</t>
        </is>
      </c>
      <c r="D693" t="inlineStr">
        <is>
          <t>No</t>
        </is>
      </c>
      <c r="E693" s="8" t="n">
        <v>6567</v>
      </c>
      <c r="F693" s="8">
        <f>E693*Assumptions!$B$7</f>
        <v/>
      </c>
      <c r="G693" s="9" t="n">
        <v>0.0341</v>
      </c>
      <c r="H693" t="inlineStr">
        <is>
          <t>Low</t>
        </is>
      </c>
      <c r="I693">
        <f>IF(G693&gt;=Assumptions!$B$4,"Yes","No")</f>
        <v/>
      </c>
      <c r="J693" s="8">
        <f>F693*Assumptions!$B$6</f>
        <v/>
      </c>
      <c r="K693" s="10">
        <f>G693*J693</f>
        <v/>
      </c>
      <c r="L693" s="10">
        <f>IF(I693="Yes",G693*Assumptions!$B$5*J693,0)</f>
        <v/>
      </c>
    </row>
    <row r="694">
      <c r="A694" t="n">
        <v>1798</v>
      </c>
      <c r="B694" t="inlineStr">
        <is>
          <t>Research &amp; Development</t>
        </is>
      </c>
      <c r="C694" t="inlineStr">
        <is>
          <t>Research Scientist</t>
        </is>
      </c>
      <c r="D694" t="inlineStr">
        <is>
          <t>No</t>
        </is>
      </c>
      <c r="E694" s="8" t="n">
        <v>3143</v>
      </c>
      <c r="F694" s="8">
        <f>E694*Assumptions!$B$7</f>
        <v/>
      </c>
      <c r="G694" s="9" t="n">
        <v>0.0341</v>
      </c>
      <c r="H694" t="inlineStr">
        <is>
          <t>Low</t>
        </is>
      </c>
      <c r="I694">
        <f>IF(G694&gt;=Assumptions!$B$4,"Yes","No")</f>
        <v/>
      </c>
      <c r="J694" s="8">
        <f>F694*Assumptions!$B$6</f>
        <v/>
      </c>
      <c r="K694" s="10">
        <f>G694*J694</f>
        <v/>
      </c>
      <c r="L694" s="10">
        <f>IF(I694="Yes",G694*Assumptions!$B$5*J694,0)</f>
        <v/>
      </c>
    </row>
    <row r="695">
      <c r="A695" t="n">
        <v>129</v>
      </c>
      <c r="B695" t="inlineStr">
        <is>
          <t>Sales</t>
        </is>
      </c>
      <c r="C695" t="inlineStr">
        <is>
          <t>Sales Executive</t>
        </is>
      </c>
      <c r="D695" t="inlineStr">
        <is>
          <t>No</t>
        </is>
      </c>
      <c r="E695" s="8" t="n">
        <v>4221</v>
      </c>
      <c r="F695" s="8">
        <f>E695*Assumptions!$B$7</f>
        <v/>
      </c>
      <c r="G695" s="9" t="n">
        <v>0.034</v>
      </c>
      <c r="H695" t="inlineStr">
        <is>
          <t>Low</t>
        </is>
      </c>
      <c r="I695">
        <f>IF(G695&gt;=Assumptions!$B$4,"Yes","No")</f>
        <v/>
      </c>
      <c r="J695" s="8">
        <f>F695*Assumptions!$B$6</f>
        <v/>
      </c>
      <c r="K695" s="10">
        <f>G695*J695</f>
        <v/>
      </c>
      <c r="L695" s="10">
        <f>IF(I695="Yes",G695*Assumptions!$B$5*J695,0)</f>
        <v/>
      </c>
    </row>
    <row r="696">
      <c r="A696" t="n">
        <v>807</v>
      </c>
      <c r="B696" t="inlineStr">
        <is>
          <t>Research &amp; Development</t>
        </is>
      </c>
      <c r="C696" t="inlineStr">
        <is>
          <t>Healthcare Representative</t>
        </is>
      </c>
      <c r="D696" t="inlineStr">
        <is>
          <t>No</t>
        </is>
      </c>
      <c r="E696" s="8" t="n">
        <v>4244</v>
      </c>
      <c r="F696" s="8">
        <f>E696*Assumptions!$B$7</f>
        <v/>
      </c>
      <c r="G696" s="9" t="n">
        <v>0.0339</v>
      </c>
      <c r="H696" t="inlineStr">
        <is>
          <t>Low</t>
        </is>
      </c>
      <c r="I696">
        <f>IF(G696&gt;=Assumptions!$B$4,"Yes","No")</f>
        <v/>
      </c>
      <c r="J696" s="8">
        <f>F696*Assumptions!$B$6</f>
        <v/>
      </c>
      <c r="K696" s="10">
        <f>G696*J696</f>
        <v/>
      </c>
      <c r="L696" s="10">
        <f>IF(I696="Yes",G696*Assumptions!$B$5*J696,0)</f>
        <v/>
      </c>
    </row>
    <row r="697">
      <c r="A697" t="n">
        <v>1597</v>
      </c>
      <c r="B697" t="inlineStr">
        <is>
          <t>Research &amp; Development</t>
        </is>
      </c>
      <c r="C697" t="inlineStr">
        <is>
          <t>Healthcare Representative</t>
        </is>
      </c>
      <c r="D697" t="inlineStr">
        <is>
          <t>No</t>
        </is>
      </c>
      <c r="E697" s="8" t="n">
        <v>5063</v>
      </c>
      <c r="F697" s="8">
        <f>E697*Assumptions!$B$7</f>
        <v/>
      </c>
      <c r="G697" s="9" t="n">
        <v>0.0339</v>
      </c>
      <c r="H697" t="inlineStr">
        <is>
          <t>Low</t>
        </is>
      </c>
      <c r="I697">
        <f>IF(G697&gt;=Assumptions!$B$4,"Yes","No")</f>
        <v/>
      </c>
      <c r="J697" s="8">
        <f>F697*Assumptions!$B$6</f>
        <v/>
      </c>
      <c r="K697" s="10">
        <f>G697*J697</f>
        <v/>
      </c>
      <c r="L697" s="10">
        <f>IF(I697="Yes",G697*Assumptions!$B$5*J697,0)</f>
        <v/>
      </c>
    </row>
    <row r="698">
      <c r="A698" t="n">
        <v>197</v>
      </c>
      <c r="B698" t="inlineStr">
        <is>
          <t>Research &amp; Development</t>
        </is>
      </c>
      <c r="C698" t="inlineStr">
        <is>
          <t>Research Scientist</t>
        </is>
      </c>
      <c r="D698" t="inlineStr">
        <is>
          <t>No</t>
        </is>
      </c>
      <c r="E698" s="8" t="n">
        <v>3204</v>
      </c>
      <c r="F698" s="8">
        <f>E698*Assumptions!$B$7</f>
        <v/>
      </c>
      <c r="G698" s="9" t="n">
        <v>0.0337</v>
      </c>
      <c r="H698" t="inlineStr">
        <is>
          <t>Low</t>
        </is>
      </c>
      <c r="I698">
        <f>IF(G698&gt;=Assumptions!$B$4,"Yes","No")</f>
        <v/>
      </c>
      <c r="J698" s="8">
        <f>F698*Assumptions!$B$6</f>
        <v/>
      </c>
      <c r="K698" s="10">
        <f>G698*J698</f>
        <v/>
      </c>
      <c r="L698" s="10">
        <f>IF(I698="Yes",G698*Assumptions!$B$5*J698,0)</f>
        <v/>
      </c>
    </row>
    <row r="699">
      <c r="A699" t="n">
        <v>806</v>
      </c>
      <c r="B699" t="inlineStr">
        <is>
          <t>Research &amp; Development</t>
        </is>
      </c>
      <c r="C699" t="inlineStr">
        <is>
          <t>Laboratory Technician</t>
        </is>
      </c>
      <c r="D699" t="inlineStr">
        <is>
          <t>No</t>
        </is>
      </c>
      <c r="E699" s="8" t="n">
        <v>3833</v>
      </c>
      <c r="F699" s="8">
        <f>E699*Assumptions!$B$7</f>
        <v/>
      </c>
      <c r="G699" s="9" t="n">
        <v>0.0337</v>
      </c>
      <c r="H699" t="inlineStr">
        <is>
          <t>Low</t>
        </is>
      </c>
      <c r="I699">
        <f>IF(G699&gt;=Assumptions!$B$4,"Yes","No")</f>
        <v/>
      </c>
      <c r="J699" s="8">
        <f>F699*Assumptions!$B$6</f>
        <v/>
      </c>
      <c r="K699" s="10">
        <f>G699*J699</f>
        <v/>
      </c>
      <c r="L699" s="10">
        <f>IF(I699="Yes",G699*Assumptions!$B$5*J699,0)</f>
        <v/>
      </c>
    </row>
    <row r="700">
      <c r="A700" t="n">
        <v>2057</v>
      </c>
      <c r="B700" t="inlineStr">
        <is>
          <t>Research &amp; Development</t>
        </is>
      </c>
      <c r="C700" t="inlineStr">
        <is>
          <t>Manufacturing Director</t>
        </is>
      </c>
      <c r="D700" t="inlineStr">
        <is>
          <t>No</t>
        </is>
      </c>
      <c r="E700" s="8" t="n">
        <v>9936</v>
      </c>
      <c r="F700" s="8">
        <f>E700*Assumptions!$B$7</f>
        <v/>
      </c>
      <c r="G700" s="9" t="n">
        <v>0.0333</v>
      </c>
      <c r="H700" t="inlineStr">
        <is>
          <t>Low</t>
        </is>
      </c>
      <c r="I700">
        <f>IF(G700&gt;=Assumptions!$B$4,"Yes","No")</f>
        <v/>
      </c>
      <c r="J700" s="8">
        <f>F700*Assumptions!$B$6</f>
        <v/>
      </c>
      <c r="K700" s="10">
        <f>G700*J700</f>
        <v/>
      </c>
      <c r="L700" s="10">
        <f>IF(I700="Yes",G700*Assumptions!$B$5*J700,0)</f>
        <v/>
      </c>
    </row>
    <row r="701">
      <c r="A701" t="n">
        <v>347</v>
      </c>
      <c r="B701" t="inlineStr">
        <is>
          <t>Research &amp; Development</t>
        </is>
      </c>
      <c r="C701" t="inlineStr">
        <is>
          <t>Research Scientist</t>
        </is>
      </c>
      <c r="D701" t="inlineStr">
        <is>
          <t>Yes</t>
        </is>
      </c>
      <c r="E701" s="8" t="n">
        <v>6545</v>
      </c>
      <c r="F701" s="8">
        <f>E701*Assumptions!$B$7</f>
        <v/>
      </c>
      <c r="G701" s="9" t="n">
        <v>0.0333</v>
      </c>
      <c r="H701" t="inlineStr">
        <is>
          <t>Low</t>
        </is>
      </c>
      <c r="I701">
        <f>IF(G701&gt;=Assumptions!$B$4,"Yes","No")</f>
        <v/>
      </c>
      <c r="J701" s="8">
        <f>F701*Assumptions!$B$6</f>
        <v/>
      </c>
      <c r="K701" s="10">
        <f>G701*J701</f>
        <v/>
      </c>
      <c r="L701" s="10">
        <f>IF(I701="Yes",G701*Assumptions!$B$5*J701,0)</f>
        <v/>
      </c>
    </row>
    <row r="702">
      <c r="A702" t="n">
        <v>193</v>
      </c>
      <c r="B702" t="inlineStr">
        <is>
          <t>Research &amp; Development</t>
        </is>
      </c>
      <c r="C702" t="inlineStr">
        <is>
          <t>Research Scientist</t>
        </is>
      </c>
      <c r="D702" t="inlineStr">
        <is>
          <t>Yes</t>
        </is>
      </c>
      <c r="E702" s="8" t="n">
        <v>4317</v>
      </c>
      <c r="F702" s="8">
        <f>E702*Assumptions!$B$7</f>
        <v/>
      </c>
      <c r="G702" s="9" t="n">
        <v>0.0332</v>
      </c>
      <c r="H702" t="inlineStr">
        <is>
          <t>Low</t>
        </is>
      </c>
      <c r="I702">
        <f>IF(G702&gt;=Assumptions!$B$4,"Yes","No")</f>
        <v/>
      </c>
      <c r="J702" s="8">
        <f>F702*Assumptions!$B$6</f>
        <v/>
      </c>
      <c r="K702" s="10">
        <f>G702*J702</f>
        <v/>
      </c>
      <c r="L702" s="10">
        <f>IF(I702="Yes",G702*Assumptions!$B$5*J702,0)</f>
        <v/>
      </c>
    </row>
    <row r="703">
      <c r="A703" t="n">
        <v>1029</v>
      </c>
      <c r="B703" t="inlineStr">
        <is>
          <t>Sales</t>
        </is>
      </c>
      <c r="C703" t="inlineStr">
        <is>
          <t>Manager</t>
        </is>
      </c>
      <c r="D703" t="inlineStr">
        <is>
          <t>No</t>
        </is>
      </c>
      <c r="E703" s="8" t="n">
        <v>18303</v>
      </c>
      <c r="F703" s="8">
        <f>E703*Assumptions!$B$7</f>
        <v/>
      </c>
      <c r="G703" s="9" t="n">
        <v>0.0331</v>
      </c>
      <c r="H703" t="inlineStr">
        <is>
          <t>Low</t>
        </is>
      </c>
      <c r="I703">
        <f>IF(G703&gt;=Assumptions!$B$4,"Yes","No")</f>
        <v/>
      </c>
      <c r="J703" s="8">
        <f>F703*Assumptions!$B$6</f>
        <v/>
      </c>
      <c r="K703" s="10">
        <f>G703*J703</f>
        <v/>
      </c>
      <c r="L703" s="10">
        <f>IF(I703="Yes",G703*Assumptions!$B$5*J703,0)</f>
        <v/>
      </c>
    </row>
    <row r="704">
      <c r="A704" t="n">
        <v>1827</v>
      </c>
      <c r="B704" t="inlineStr">
        <is>
          <t>Research &amp; Development</t>
        </is>
      </c>
      <c r="C704" t="inlineStr">
        <is>
          <t>Manufacturing Director</t>
        </is>
      </c>
      <c r="D704" t="inlineStr">
        <is>
          <t>Yes</t>
        </is>
      </c>
      <c r="E704" s="8" t="n">
        <v>10333</v>
      </c>
      <c r="F704" s="8">
        <f>E704*Assumptions!$B$7</f>
        <v/>
      </c>
      <c r="G704" s="9" t="n">
        <v>0.0329</v>
      </c>
      <c r="H704" t="inlineStr">
        <is>
          <t>Low</t>
        </is>
      </c>
      <c r="I704">
        <f>IF(G704&gt;=Assumptions!$B$4,"Yes","No")</f>
        <v/>
      </c>
      <c r="J704" s="8">
        <f>F704*Assumptions!$B$6</f>
        <v/>
      </c>
      <c r="K704" s="10">
        <f>G704*J704</f>
        <v/>
      </c>
      <c r="L704" s="10">
        <f>IF(I704="Yes",G704*Assumptions!$B$5*J704,0)</f>
        <v/>
      </c>
    </row>
    <row r="705">
      <c r="A705" t="n">
        <v>1501</v>
      </c>
      <c r="B705" t="inlineStr">
        <is>
          <t>Research &amp; Development</t>
        </is>
      </c>
      <c r="C705" t="inlineStr">
        <is>
          <t>Healthcare Representative</t>
        </is>
      </c>
      <c r="D705" t="inlineStr">
        <is>
          <t>Yes</t>
        </is>
      </c>
      <c r="E705" s="8" t="n">
        <v>4035</v>
      </c>
      <c r="F705" s="8">
        <f>E705*Assumptions!$B$7</f>
        <v/>
      </c>
      <c r="G705" s="9" t="n">
        <v>0.0327</v>
      </c>
      <c r="H705" t="inlineStr">
        <is>
          <t>Low</t>
        </is>
      </c>
      <c r="I705">
        <f>IF(G705&gt;=Assumptions!$B$4,"Yes","No")</f>
        <v/>
      </c>
      <c r="J705" s="8">
        <f>F705*Assumptions!$B$6</f>
        <v/>
      </c>
      <c r="K705" s="10">
        <f>G705*J705</f>
        <v/>
      </c>
      <c r="L705" s="10">
        <f>IF(I705="Yes",G705*Assumptions!$B$5*J705,0)</f>
        <v/>
      </c>
    </row>
    <row r="706">
      <c r="A706" t="n">
        <v>1971</v>
      </c>
      <c r="B706" t="inlineStr">
        <is>
          <t>Research &amp; Development</t>
        </is>
      </c>
      <c r="C706" t="inlineStr">
        <is>
          <t>Healthcare Representative</t>
        </is>
      </c>
      <c r="D706" t="inlineStr">
        <is>
          <t>No</t>
        </is>
      </c>
      <c r="E706" s="8" t="n">
        <v>7510</v>
      </c>
      <c r="F706" s="8">
        <f>E706*Assumptions!$B$7</f>
        <v/>
      </c>
      <c r="G706" s="9" t="n">
        <v>0.0327</v>
      </c>
      <c r="H706" t="inlineStr">
        <is>
          <t>Low</t>
        </is>
      </c>
      <c r="I706">
        <f>IF(G706&gt;=Assumptions!$B$4,"Yes","No")</f>
        <v/>
      </c>
      <c r="J706" s="8">
        <f>F706*Assumptions!$B$6</f>
        <v/>
      </c>
      <c r="K706" s="10">
        <f>G706*J706</f>
        <v/>
      </c>
      <c r="L706" s="10">
        <f>IF(I706="Yes",G706*Assumptions!$B$5*J706,0)</f>
        <v/>
      </c>
    </row>
    <row r="707">
      <c r="A707" t="n">
        <v>995</v>
      </c>
      <c r="B707" t="inlineStr">
        <is>
          <t>Research &amp; Development</t>
        </is>
      </c>
      <c r="C707" t="inlineStr">
        <is>
          <t>Research Scientist</t>
        </is>
      </c>
      <c r="D707" t="inlineStr">
        <is>
          <t>No</t>
        </is>
      </c>
      <c r="E707" s="8" t="n">
        <v>3452</v>
      </c>
      <c r="F707" s="8">
        <f>E707*Assumptions!$B$7</f>
        <v/>
      </c>
      <c r="G707" s="9" t="n">
        <v>0.0327</v>
      </c>
      <c r="H707" t="inlineStr">
        <is>
          <t>Low</t>
        </is>
      </c>
      <c r="I707">
        <f>IF(G707&gt;=Assumptions!$B$4,"Yes","No")</f>
        <v/>
      </c>
      <c r="J707" s="8">
        <f>F707*Assumptions!$B$6</f>
        <v/>
      </c>
      <c r="K707" s="10">
        <f>G707*J707</f>
        <v/>
      </c>
      <c r="L707" s="10">
        <f>IF(I707="Yes",G707*Assumptions!$B$5*J707,0)</f>
        <v/>
      </c>
    </row>
    <row r="708">
      <c r="A708" t="n">
        <v>1931</v>
      </c>
      <c r="B708" t="inlineStr">
        <is>
          <t>Research &amp; Development</t>
        </is>
      </c>
      <c r="C708" t="inlineStr">
        <is>
          <t>Research Scientist</t>
        </is>
      </c>
      <c r="D708" t="inlineStr">
        <is>
          <t>No</t>
        </is>
      </c>
      <c r="E708" s="8" t="n">
        <v>2226</v>
      </c>
      <c r="F708" s="8">
        <f>E708*Assumptions!$B$7</f>
        <v/>
      </c>
      <c r="G708" s="9" t="n">
        <v>0.0325</v>
      </c>
      <c r="H708" t="inlineStr">
        <is>
          <t>Low</t>
        </is>
      </c>
      <c r="I708">
        <f>IF(G708&gt;=Assumptions!$B$4,"Yes","No")</f>
        <v/>
      </c>
      <c r="J708" s="8">
        <f>F708*Assumptions!$B$6</f>
        <v/>
      </c>
      <c r="K708" s="10">
        <f>G708*J708</f>
        <v/>
      </c>
      <c r="L708" s="10">
        <f>IF(I708="Yes",G708*Assumptions!$B$5*J708,0)</f>
        <v/>
      </c>
    </row>
    <row r="709">
      <c r="A709" t="n">
        <v>332</v>
      </c>
      <c r="B709" t="inlineStr">
        <is>
          <t>Research &amp; Development</t>
        </is>
      </c>
      <c r="C709" t="inlineStr">
        <is>
          <t>Laboratory Technician</t>
        </is>
      </c>
      <c r="D709" t="inlineStr">
        <is>
          <t>No</t>
        </is>
      </c>
      <c r="E709" s="8" t="n">
        <v>2232</v>
      </c>
      <c r="F709" s="8">
        <f>E709*Assumptions!$B$7</f>
        <v/>
      </c>
      <c r="G709" s="9" t="n">
        <v>0.0325</v>
      </c>
      <c r="H709" t="inlineStr">
        <is>
          <t>Low</t>
        </is>
      </c>
      <c r="I709">
        <f>IF(G709&gt;=Assumptions!$B$4,"Yes","No")</f>
        <v/>
      </c>
      <c r="J709" s="8">
        <f>F709*Assumptions!$B$6</f>
        <v/>
      </c>
      <c r="K709" s="10">
        <f>G709*J709</f>
        <v/>
      </c>
      <c r="L709" s="10">
        <f>IF(I709="Yes",G709*Assumptions!$B$5*J709,0)</f>
        <v/>
      </c>
    </row>
    <row r="710">
      <c r="A710" t="n">
        <v>665</v>
      </c>
      <c r="B710" t="inlineStr">
        <is>
          <t>Human Resources</t>
        </is>
      </c>
      <c r="C710" t="inlineStr">
        <is>
          <t>Human Resources</t>
        </is>
      </c>
      <c r="D710" t="inlineStr">
        <is>
          <t>No</t>
        </is>
      </c>
      <c r="E710" s="8" t="n">
        <v>5985</v>
      </c>
      <c r="F710" s="8">
        <f>E710*Assumptions!$B$7</f>
        <v/>
      </c>
      <c r="G710" s="9" t="n">
        <v>0.0323</v>
      </c>
      <c r="H710" t="inlineStr">
        <is>
          <t>Low</t>
        </is>
      </c>
      <c r="I710">
        <f>IF(G710&gt;=Assumptions!$B$4,"Yes","No")</f>
        <v/>
      </c>
      <c r="J710" s="8">
        <f>F710*Assumptions!$B$6</f>
        <v/>
      </c>
      <c r="K710" s="10">
        <f>G710*J710</f>
        <v/>
      </c>
      <c r="L710" s="10">
        <f>IF(I710="Yes",G710*Assumptions!$B$5*J710,0)</f>
        <v/>
      </c>
    </row>
    <row r="711">
      <c r="A711" t="n">
        <v>775</v>
      </c>
      <c r="B711" t="inlineStr">
        <is>
          <t>Research &amp; Development</t>
        </is>
      </c>
      <c r="C711" t="inlineStr">
        <is>
          <t>Manufacturing Director</t>
        </is>
      </c>
      <c r="D711" t="inlineStr">
        <is>
          <t>No</t>
        </is>
      </c>
      <c r="E711" s="8" t="n">
        <v>5121</v>
      </c>
      <c r="F711" s="8">
        <f>E711*Assumptions!$B$7</f>
        <v/>
      </c>
      <c r="G711" s="9" t="n">
        <v>0.0322</v>
      </c>
      <c r="H711" t="inlineStr">
        <is>
          <t>Low</t>
        </is>
      </c>
      <c r="I711">
        <f>IF(G711&gt;=Assumptions!$B$4,"Yes","No")</f>
        <v/>
      </c>
      <c r="J711" s="8">
        <f>F711*Assumptions!$B$6</f>
        <v/>
      </c>
      <c r="K711" s="10">
        <f>G711*J711</f>
        <v/>
      </c>
      <c r="L711" s="10">
        <f>IF(I711="Yes",G711*Assumptions!$B$5*J711,0)</f>
        <v/>
      </c>
    </row>
    <row r="712">
      <c r="A712" t="n">
        <v>303</v>
      </c>
      <c r="B712" t="inlineStr">
        <is>
          <t>Sales</t>
        </is>
      </c>
      <c r="C712" t="inlineStr">
        <is>
          <t>Sales Executive</t>
        </is>
      </c>
      <c r="D712" t="inlineStr">
        <is>
          <t>No</t>
        </is>
      </c>
      <c r="E712" s="8" t="n">
        <v>5940</v>
      </c>
      <c r="F712" s="8">
        <f>E712*Assumptions!$B$7</f>
        <v/>
      </c>
      <c r="G712" s="9" t="n">
        <v>0.0322</v>
      </c>
      <c r="H712" t="inlineStr">
        <is>
          <t>Low</t>
        </is>
      </c>
      <c r="I712">
        <f>IF(G712&gt;=Assumptions!$B$4,"Yes","No")</f>
        <v/>
      </c>
      <c r="J712" s="8">
        <f>F712*Assumptions!$B$6</f>
        <v/>
      </c>
      <c r="K712" s="10">
        <f>G712*J712</f>
        <v/>
      </c>
      <c r="L712" s="10">
        <f>IF(I712="Yes",G712*Assumptions!$B$5*J712,0)</f>
        <v/>
      </c>
    </row>
    <row r="713">
      <c r="A713" t="n">
        <v>1757</v>
      </c>
      <c r="B713" t="inlineStr">
        <is>
          <t>Sales</t>
        </is>
      </c>
      <c r="C713" t="inlineStr">
        <is>
          <t>Sales Executive</t>
        </is>
      </c>
      <c r="D713" t="inlineStr">
        <is>
          <t>No</t>
        </is>
      </c>
      <c r="E713" s="8" t="n">
        <v>4507</v>
      </c>
      <c r="F713" s="8">
        <f>E713*Assumptions!$B$7</f>
        <v/>
      </c>
      <c r="G713" s="9" t="n">
        <v>0.0321</v>
      </c>
      <c r="H713" t="inlineStr">
        <is>
          <t>Low</t>
        </is>
      </c>
      <c r="I713">
        <f>IF(G713&gt;=Assumptions!$B$4,"Yes","No")</f>
        <v/>
      </c>
      <c r="J713" s="8">
        <f>F713*Assumptions!$B$6</f>
        <v/>
      </c>
      <c r="K713" s="10">
        <f>G713*J713</f>
        <v/>
      </c>
      <c r="L713" s="10">
        <f>IF(I713="Yes",G713*Assumptions!$B$5*J713,0)</f>
        <v/>
      </c>
    </row>
    <row r="714">
      <c r="A714" t="n">
        <v>247</v>
      </c>
      <c r="B714" t="inlineStr">
        <is>
          <t>Research &amp; Development</t>
        </is>
      </c>
      <c r="C714" t="inlineStr">
        <is>
          <t>Research Scientist</t>
        </is>
      </c>
      <c r="D714" t="inlineStr">
        <is>
          <t>No</t>
        </is>
      </c>
      <c r="E714" s="8" t="n">
        <v>2311</v>
      </c>
      <c r="F714" s="8">
        <f>E714*Assumptions!$B$7</f>
        <v/>
      </c>
      <c r="G714" s="9" t="n">
        <v>0.0321</v>
      </c>
      <c r="H714" t="inlineStr">
        <is>
          <t>Low</t>
        </is>
      </c>
      <c r="I714">
        <f>IF(G714&gt;=Assumptions!$B$4,"Yes","No")</f>
        <v/>
      </c>
      <c r="J714" s="8">
        <f>F714*Assumptions!$B$6</f>
        <v/>
      </c>
      <c r="K714" s="10">
        <f>G714*J714</f>
        <v/>
      </c>
      <c r="L714" s="10">
        <f>IF(I714="Yes",G714*Assumptions!$B$5*J714,0)</f>
        <v/>
      </c>
    </row>
    <row r="715">
      <c r="A715" t="n">
        <v>450</v>
      </c>
      <c r="B715" t="inlineStr">
        <is>
          <t>Research &amp; Development</t>
        </is>
      </c>
      <c r="C715" t="inlineStr">
        <is>
          <t>Research Scientist</t>
        </is>
      </c>
      <c r="D715" t="inlineStr">
        <is>
          <t>No</t>
        </is>
      </c>
      <c r="E715" s="8" t="n">
        <v>4869</v>
      </c>
      <c r="F715" s="8">
        <f>E715*Assumptions!$B$7</f>
        <v/>
      </c>
      <c r="G715" s="9" t="n">
        <v>0.032</v>
      </c>
      <c r="H715" t="inlineStr">
        <is>
          <t>Low</t>
        </is>
      </c>
      <c r="I715">
        <f>IF(G715&gt;=Assumptions!$B$4,"Yes","No")</f>
        <v/>
      </c>
      <c r="J715" s="8">
        <f>F715*Assumptions!$B$6</f>
        <v/>
      </c>
      <c r="K715" s="10">
        <f>G715*J715</f>
        <v/>
      </c>
      <c r="L715" s="10">
        <f>IF(I715="Yes",G715*Assumptions!$B$5*J715,0)</f>
        <v/>
      </c>
    </row>
    <row r="716">
      <c r="A716" t="n">
        <v>1996</v>
      </c>
      <c r="B716" t="inlineStr">
        <is>
          <t>Sales</t>
        </is>
      </c>
      <c r="C716" t="inlineStr">
        <is>
          <t>Sales Representative</t>
        </is>
      </c>
      <c r="D716" t="inlineStr">
        <is>
          <t>No</t>
        </is>
      </c>
      <c r="E716" s="8" t="n">
        <v>3067</v>
      </c>
      <c r="F716" s="8">
        <f>E716*Assumptions!$B$7</f>
        <v/>
      </c>
      <c r="G716" s="9" t="n">
        <v>0.032</v>
      </c>
      <c r="H716" t="inlineStr">
        <is>
          <t>Low</t>
        </is>
      </c>
      <c r="I716">
        <f>IF(G716&gt;=Assumptions!$B$4,"Yes","No")</f>
        <v/>
      </c>
      <c r="J716" s="8">
        <f>F716*Assumptions!$B$6</f>
        <v/>
      </c>
      <c r="K716" s="10">
        <f>G716*J716</f>
        <v/>
      </c>
      <c r="L716" s="10">
        <f>IF(I716="Yes",G716*Assumptions!$B$5*J716,0)</f>
        <v/>
      </c>
    </row>
    <row r="717">
      <c r="A717" t="n">
        <v>1312</v>
      </c>
      <c r="B717" t="inlineStr">
        <is>
          <t>Research &amp; Development</t>
        </is>
      </c>
      <c r="C717" t="inlineStr">
        <is>
          <t>Healthcare Representative</t>
        </is>
      </c>
      <c r="D717" t="inlineStr">
        <is>
          <t>No</t>
        </is>
      </c>
      <c r="E717" s="8" t="n">
        <v>7094</v>
      </c>
      <c r="F717" s="8">
        <f>E717*Assumptions!$B$7</f>
        <v/>
      </c>
      <c r="G717" s="9" t="n">
        <v>0.032</v>
      </c>
      <c r="H717" t="inlineStr">
        <is>
          <t>Low</t>
        </is>
      </c>
      <c r="I717">
        <f>IF(G717&gt;=Assumptions!$B$4,"Yes","No")</f>
        <v/>
      </c>
      <c r="J717" s="8">
        <f>F717*Assumptions!$B$6</f>
        <v/>
      </c>
      <c r="K717" s="10">
        <f>G717*J717</f>
        <v/>
      </c>
      <c r="L717" s="10">
        <f>IF(I717="Yes",G717*Assumptions!$B$5*J717,0)</f>
        <v/>
      </c>
    </row>
    <row r="718">
      <c r="A718" t="n">
        <v>763</v>
      </c>
      <c r="B718" t="inlineStr">
        <is>
          <t>Research &amp; Development</t>
        </is>
      </c>
      <c r="C718" t="inlineStr">
        <is>
          <t>Research Scientist</t>
        </is>
      </c>
      <c r="D718" t="inlineStr">
        <is>
          <t>Yes</t>
        </is>
      </c>
      <c r="E718" s="8" t="n">
        <v>2342</v>
      </c>
      <c r="F718" s="8">
        <f>E718*Assumptions!$B$7</f>
        <v/>
      </c>
      <c r="G718" s="9" t="n">
        <v>0.0319</v>
      </c>
      <c r="H718" t="inlineStr">
        <is>
          <t>Low</t>
        </is>
      </c>
      <c r="I718">
        <f>IF(G718&gt;=Assumptions!$B$4,"Yes","No")</f>
        <v/>
      </c>
      <c r="J718" s="8">
        <f>F718*Assumptions!$B$6</f>
        <v/>
      </c>
      <c r="K718" s="10">
        <f>G718*J718</f>
        <v/>
      </c>
      <c r="L718" s="10">
        <f>IF(I718="Yes",G718*Assumptions!$B$5*J718,0)</f>
        <v/>
      </c>
    </row>
    <row r="719">
      <c r="A719" t="n">
        <v>679</v>
      </c>
      <c r="B719" t="inlineStr">
        <is>
          <t>Research &amp; Development</t>
        </is>
      </c>
      <c r="C719" t="inlineStr">
        <is>
          <t>Research Scientist</t>
        </is>
      </c>
      <c r="D719" t="inlineStr">
        <is>
          <t>Yes</t>
        </is>
      </c>
      <c r="E719" s="8" t="n">
        <v>6322</v>
      </c>
      <c r="F719" s="8">
        <f>E719*Assumptions!$B$7</f>
        <v/>
      </c>
      <c r="G719" s="9" t="n">
        <v>0.0318</v>
      </c>
      <c r="H719" t="inlineStr">
        <is>
          <t>Low</t>
        </is>
      </c>
      <c r="I719">
        <f>IF(G719&gt;=Assumptions!$B$4,"Yes","No")</f>
        <v/>
      </c>
      <c r="J719" s="8">
        <f>F719*Assumptions!$B$6</f>
        <v/>
      </c>
      <c r="K719" s="10">
        <f>G719*J719</f>
        <v/>
      </c>
      <c r="L719" s="10">
        <f>IF(I719="Yes",G719*Assumptions!$B$5*J719,0)</f>
        <v/>
      </c>
    </row>
    <row r="720">
      <c r="A720" t="n">
        <v>1555</v>
      </c>
      <c r="B720" t="inlineStr">
        <is>
          <t>Research &amp; Development</t>
        </is>
      </c>
      <c r="C720" t="inlineStr">
        <is>
          <t>Research Scientist</t>
        </is>
      </c>
      <c r="D720" t="inlineStr">
        <is>
          <t>No</t>
        </is>
      </c>
      <c r="E720" s="8" t="n">
        <v>5878</v>
      </c>
      <c r="F720" s="8">
        <f>E720*Assumptions!$B$7</f>
        <v/>
      </c>
      <c r="G720" s="9" t="n">
        <v>0.0318</v>
      </c>
      <c r="H720" t="inlineStr">
        <is>
          <t>Low</t>
        </is>
      </c>
      <c r="I720">
        <f>IF(G720&gt;=Assumptions!$B$4,"Yes","No")</f>
        <v/>
      </c>
      <c r="J720" s="8">
        <f>F720*Assumptions!$B$6</f>
        <v/>
      </c>
      <c r="K720" s="10">
        <f>G720*J720</f>
        <v/>
      </c>
      <c r="L720" s="10">
        <f>IF(I720="Yes",G720*Assumptions!$B$5*J720,0)</f>
        <v/>
      </c>
    </row>
    <row r="721">
      <c r="A721" t="n">
        <v>987</v>
      </c>
      <c r="B721" t="inlineStr">
        <is>
          <t>Research &amp; Development</t>
        </is>
      </c>
      <c r="C721" t="inlineStr">
        <is>
          <t>Manufacturing Director</t>
        </is>
      </c>
      <c r="D721" t="inlineStr">
        <is>
          <t>Yes</t>
        </is>
      </c>
      <c r="E721" s="8" t="n">
        <v>5067</v>
      </c>
      <c r="F721" s="8">
        <f>E721*Assumptions!$B$7</f>
        <v/>
      </c>
      <c r="G721" s="9" t="n">
        <v>0.0317</v>
      </c>
      <c r="H721" t="inlineStr">
        <is>
          <t>Low</t>
        </is>
      </c>
      <c r="I721">
        <f>IF(G721&gt;=Assumptions!$B$4,"Yes","No")</f>
        <v/>
      </c>
      <c r="J721" s="8">
        <f>F721*Assumptions!$B$6</f>
        <v/>
      </c>
      <c r="K721" s="10">
        <f>G721*J721</f>
        <v/>
      </c>
      <c r="L721" s="10">
        <f>IF(I721="Yes",G721*Assumptions!$B$5*J721,0)</f>
        <v/>
      </c>
    </row>
    <row r="722">
      <c r="A722" t="n">
        <v>8</v>
      </c>
      <c r="B722" t="inlineStr">
        <is>
          <t>Research &amp; Development</t>
        </is>
      </c>
      <c r="C722" t="inlineStr">
        <is>
          <t>Laboratory Technician</t>
        </is>
      </c>
      <c r="D722" t="inlineStr">
        <is>
          <t>No</t>
        </is>
      </c>
      <c r="E722" s="8" t="n">
        <v>3068</v>
      </c>
      <c r="F722" s="8">
        <f>E722*Assumptions!$B$7</f>
        <v/>
      </c>
      <c r="G722" s="9" t="n">
        <v>0.0313</v>
      </c>
      <c r="H722" t="inlineStr">
        <is>
          <t>Low</t>
        </is>
      </c>
      <c r="I722">
        <f>IF(G722&gt;=Assumptions!$B$4,"Yes","No")</f>
        <v/>
      </c>
      <c r="J722" s="8">
        <f>F722*Assumptions!$B$6</f>
        <v/>
      </c>
      <c r="K722" s="10">
        <f>G722*J722</f>
        <v/>
      </c>
      <c r="L722" s="10">
        <f>IF(I722="Yes",G722*Assumptions!$B$5*J722,0)</f>
        <v/>
      </c>
    </row>
    <row r="723">
      <c r="A723" t="n">
        <v>333</v>
      </c>
      <c r="B723" t="inlineStr">
        <is>
          <t>Sales</t>
        </is>
      </c>
      <c r="C723" t="inlineStr">
        <is>
          <t>Sales Executive</t>
        </is>
      </c>
      <c r="D723" t="inlineStr">
        <is>
          <t>No</t>
        </is>
      </c>
      <c r="E723" s="8" t="n">
        <v>4465</v>
      </c>
      <c r="F723" s="8">
        <f>E723*Assumptions!$B$7</f>
        <v/>
      </c>
      <c r="G723" s="9" t="n">
        <v>0.0311</v>
      </c>
      <c r="H723" t="inlineStr">
        <is>
          <t>Low</t>
        </is>
      </c>
      <c r="I723">
        <f>IF(G723&gt;=Assumptions!$B$4,"Yes","No")</f>
        <v/>
      </c>
      <c r="J723" s="8">
        <f>F723*Assumptions!$B$6</f>
        <v/>
      </c>
      <c r="K723" s="10">
        <f>G723*J723</f>
        <v/>
      </c>
      <c r="L723" s="10">
        <f>IF(I723="Yes",G723*Assumptions!$B$5*J723,0)</f>
        <v/>
      </c>
    </row>
    <row r="724">
      <c r="A724" t="n">
        <v>1126</v>
      </c>
      <c r="B724" t="inlineStr">
        <is>
          <t>Research &amp; Development</t>
        </is>
      </c>
      <c r="C724" t="inlineStr">
        <is>
          <t>Manufacturing Director</t>
        </is>
      </c>
      <c r="D724" t="inlineStr">
        <is>
          <t>No</t>
        </is>
      </c>
      <c r="E724" s="8" t="n">
        <v>10820</v>
      </c>
      <c r="F724" s="8">
        <f>E724*Assumptions!$B$7</f>
        <v/>
      </c>
      <c r="G724" s="9" t="n">
        <v>0.0309</v>
      </c>
      <c r="H724" t="inlineStr">
        <is>
          <t>Low</t>
        </is>
      </c>
      <c r="I724">
        <f>IF(G724&gt;=Assumptions!$B$4,"Yes","No")</f>
        <v/>
      </c>
      <c r="J724" s="8">
        <f>F724*Assumptions!$B$6</f>
        <v/>
      </c>
      <c r="K724" s="10">
        <f>G724*J724</f>
        <v/>
      </c>
      <c r="L724" s="10">
        <f>IF(I724="Yes",G724*Assumptions!$B$5*J724,0)</f>
        <v/>
      </c>
    </row>
    <row r="725">
      <c r="A725" t="n">
        <v>1803</v>
      </c>
      <c r="B725" t="inlineStr">
        <is>
          <t>Research &amp; Development</t>
        </is>
      </c>
      <c r="C725" t="inlineStr">
        <is>
          <t>Healthcare Representative</t>
        </is>
      </c>
      <c r="D725" t="inlineStr">
        <is>
          <t>No</t>
        </is>
      </c>
      <c r="E725" s="8" t="n">
        <v>5538</v>
      </c>
      <c r="F725" s="8">
        <f>E725*Assumptions!$B$7</f>
        <v/>
      </c>
      <c r="G725" s="9" t="n">
        <v>0.0309</v>
      </c>
      <c r="H725" t="inlineStr">
        <is>
          <t>Low</t>
        </is>
      </c>
      <c r="I725">
        <f>IF(G725&gt;=Assumptions!$B$4,"Yes","No")</f>
        <v/>
      </c>
      <c r="J725" s="8">
        <f>F725*Assumptions!$B$6</f>
        <v/>
      </c>
      <c r="K725" s="10">
        <f>G725*J725</f>
        <v/>
      </c>
      <c r="L725" s="10">
        <f>IF(I725="Yes",G725*Assumptions!$B$5*J725,0)</f>
        <v/>
      </c>
    </row>
    <row r="726">
      <c r="A726" t="n">
        <v>992</v>
      </c>
      <c r="B726" t="inlineStr">
        <is>
          <t>Sales</t>
        </is>
      </c>
      <c r="C726" t="inlineStr">
        <is>
          <t>Manager</t>
        </is>
      </c>
      <c r="D726" t="inlineStr">
        <is>
          <t>No</t>
        </is>
      </c>
      <c r="E726" s="8" t="n">
        <v>17444</v>
      </c>
      <c r="F726" s="8">
        <f>E726*Assumptions!$B$7</f>
        <v/>
      </c>
      <c r="G726" s="9" t="n">
        <v>0.0308</v>
      </c>
      <c r="H726" t="inlineStr">
        <is>
          <t>Low</t>
        </is>
      </c>
      <c r="I726">
        <f>IF(G726&gt;=Assumptions!$B$4,"Yes","No")</f>
        <v/>
      </c>
      <c r="J726" s="8">
        <f>F726*Assumptions!$B$6</f>
        <v/>
      </c>
      <c r="K726" s="10">
        <f>G726*J726</f>
        <v/>
      </c>
      <c r="L726" s="10">
        <f>IF(I726="Yes",G726*Assumptions!$B$5*J726,0)</f>
        <v/>
      </c>
    </row>
    <row r="727">
      <c r="A727" t="n">
        <v>221</v>
      </c>
      <c r="B727" t="inlineStr">
        <is>
          <t>Research &amp; Development</t>
        </is>
      </c>
      <c r="C727" t="inlineStr">
        <is>
          <t>Research Scientist</t>
        </is>
      </c>
      <c r="D727" t="inlineStr">
        <is>
          <t>No</t>
        </is>
      </c>
      <c r="E727" s="8" t="n">
        <v>2713</v>
      </c>
      <c r="F727" s="8">
        <f>E727*Assumptions!$B$7</f>
        <v/>
      </c>
      <c r="G727" s="9" t="n">
        <v>0.0307</v>
      </c>
      <c r="H727" t="inlineStr">
        <is>
          <t>Low</t>
        </is>
      </c>
      <c r="I727">
        <f>IF(G727&gt;=Assumptions!$B$4,"Yes","No")</f>
        <v/>
      </c>
      <c r="J727" s="8">
        <f>F727*Assumptions!$B$6</f>
        <v/>
      </c>
      <c r="K727" s="10">
        <f>G727*J727</f>
        <v/>
      </c>
      <c r="L727" s="10">
        <f>IF(I727="Yes",G727*Assumptions!$B$5*J727,0)</f>
        <v/>
      </c>
    </row>
    <row r="728">
      <c r="A728" t="n">
        <v>1240</v>
      </c>
      <c r="B728" t="inlineStr">
        <is>
          <t>Sales</t>
        </is>
      </c>
      <c r="C728" t="inlineStr">
        <is>
          <t>Sales Executive</t>
        </is>
      </c>
      <c r="D728" t="inlineStr">
        <is>
          <t>No</t>
        </is>
      </c>
      <c r="E728" s="8" t="n">
        <v>4950</v>
      </c>
      <c r="F728" s="8">
        <f>E728*Assumptions!$B$7</f>
        <v/>
      </c>
      <c r="G728" s="9" t="n">
        <v>0.0306</v>
      </c>
      <c r="H728" t="inlineStr">
        <is>
          <t>Low</t>
        </is>
      </c>
      <c r="I728">
        <f>IF(G728&gt;=Assumptions!$B$4,"Yes","No")</f>
        <v/>
      </c>
      <c r="J728" s="8">
        <f>F728*Assumptions!$B$6</f>
        <v/>
      </c>
      <c r="K728" s="10">
        <f>G728*J728</f>
        <v/>
      </c>
      <c r="L728" s="10">
        <f>IF(I728="Yes",G728*Assumptions!$B$5*J728,0)</f>
        <v/>
      </c>
    </row>
    <row r="729">
      <c r="A729" t="n">
        <v>880</v>
      </c>
      <c r="B729" t="inlineStr">
        <is>
          <t>Research &amp; Development</t>
        </is>
      </c>
      <c r="C729" t="inlineStr">
        <is>
          <t>Manufacturing Director</t>
        </is>
      </c>
      <c r="D729" t="inlineStr">
        <is>
          <t>Yes</t>
        </is>
      </c>
      <c r="E729" s="8" t="n">
        <v>10685</v>
      </c>
      <c r="F729" s="8">
        <f>E729*Assumptions!$B$7</f>
        <v/>
      </c>
      <c r="G729" s="9" t="n">
        <v>0.0305</v>
      </c>
      <c r="H729" t="inlineStr">
        <is>
          <t>Low</t>
        </is>
      </c>
      <c r="I729">
        <f>IF(G729&gt;=Assumptions!$B$4,"Yes","No")</f>
        <v/>
      </c>
      <c r="J729" s="8">
        <f>F729*Assumptions!$B$6</f>
        <v/>
      </c>
      <c r="K729" s="10">
        <f>G729*J729</f>
        <v/>
      </c>
      <c r="L729" s="10">
        <f>IF(I729="Yes",G729*Assumptions!$B$5*J729,0)</f>
        <v/>
      </c>
    </row>
    <row r="730">
      <c r="A730" t="n">
        <v>1947</v>
      </c>
      <c r="B730" t="inlineStr">
        <is>
          <t>Research &amp; Development</t>
        </is>
      </c>
      <c r="C730" t="inlineStr">
        <is>
          <t>Research Scientist</t>
        </is>
      </c>
      <c r="D730" t="inlineStr">
        <is>
          <t>No</t>
        </is>
      </c>
      <c r="E730" s="8" t="n">
        <v>2144</v>
      </c>
      <c r="F730" s="8">
        <f>E730*Assumptions!$B$7</f>
        <v/>
      </c>
      <c r="G730" s="9" t="n">
        <v>0.0305</v>
      </c>
      <c r="H730" t="inlineStr">
        <is>
          <t>Low</t>
        </is>
      </c>
      <c r="I730">
        <f>IF(G730&gt;=Assumptions!$B$4,"Yes","No")</f>
        <v/>
      </c>
      <c r="J730" s="8">
        <f>F730*Assumptions!$B$6</f>
        <v/>
      </c>
      <c r="K730" s="10">
        <f>G730*J730</f>
        <v/>
      </c>
      <c r="L730" s="10">
        <f>IF(I730="Yes",G730*Assumptions!$B$5*J730,0)</f>
        <v/>
      </c>
    </row>
    <row r="731">
      <c r="A731" t="n">
        <v>889</v>
      </c>
      <c r="B731" t="inlineStr">
        <is>
          <t>Sales</t>
        </is>
      </c>
      <c r="C731" t="inlineStr">
        <is>
          <t>Sales Executive</t>
        </is>
      </c>
      <c r="D731" t="inlineStr">
        <is>
          <t>No</t>
        </is>
      </c>
      <c r="E731" s="8" t="n">
        <v>6524</v>
      </c>
      <c r="F731" s="8">
        <f>E731*Assumptions!$B$7</f>
        <v/>
      </c>
      <c r="G731" s="9" t="n">
        <v>0.0304</v>
      </c>
      <c r="H731" t="inlineStr">
        <is>
          <t>Low</t>
        </is>
      </c>
      <c r="I731">
        <f>IF(G731&gt;=Assumptions!$B$4,"Yes","No")</f>
        <v/>
      </c>
      <c r="J731" s="8">
        <f>F731*Assumptions!$B$6</f>
        <v/>
      </c>
      <c r="K731" s="10">
        <f>G731*J731</f>
        <v/>
      </c>
      <c r="L731" s="10">
        <f>IF(I731="Yes",G731*Assumptions!$B$5*J731,0)</f>
        <v/>
      </c>
    </row>
    <row r="732">
      <c r="A732" t="n">
        <v>1824</v>
      </c>
      <c r="B732" t="inlineStr">
        <is>
          <t>Sales</t>
        </is>
      </c>
      <c r="C732" t="inlineStr">
        <is>
          <t>Manager</t>
        </is>
      </c>
      <c r="D732" t="inlineStr">
        <is>
          <t>No</t>
        </is>
      </c>
      <c r="E732" s="8" t="n">
        <v>16291</v>
      </c>
      <c r="F732" s="8">
        <f>E732*Assumptions!$B$7</f>
        <v/>
      </c>
      <c r="G732" s="9" t="n">
        <v>0.0301</v>
      </c>
      <c r="H732" t="inlineStr">
        <is>
          <t>Low</t>
        </is>
      </c>
      <c r="I732">
        <f>IF(G732&gt;=Assumptions!$B$4,"Yes","No")</f>
        <v/>
      </c>
      <c r="J732" s="8">
        <f>F732*Assumptions!$B$6</f>
        <v/>
      </c>
      <c r="K732" s="10">
        <f>G732*J732</f>
        <v/>
      </c>
      <c r="L732" s="10">
        <f>IF(I732="Yes",G732*Assumptions!$B$5*J732,0)</f>
        <v/>
      </c>
    </row>
    <row r="733">
      <c r="A733" t="n">
        <v>1800</v>
      </c>
      <c r="B733" t="inlineStr">
        <is>
          <t>Research &amp; Development</t>
        </is>
      </c>
      <c r="C733" t="inlineStr">
        <is>
          <t>Research Director</t>
        </is>
      </c>
      <c r="D733" t="inlineStr">
        <is>
          <t>No</t>
        </is>
      </c>
      <c r="E733" s="8" t="n">
        <v>13464</v>
      </c>
      <c r="F733" s="8">
        <f>E733*Assumptions!$B$7</f>
        <v/>
      </c>
      <c r="G733" s="9" t="n">
        <v>0.0301</v>
      </c>
      <c r="H733" t="inlineStr">
        <is>
          <t>Low</t>
        </is>
      </c>
      <c r="I733">
        <f>IF(G733&gt;=Assumptions!$B$4,"Yes","No")</f>
        <v/>
      </c>
      <c r="J733" s="8">
        <f>F733*Assumptions!$B$6</f>
        <v/>
      </c>
      <c r="K733" s="10">
        <f>G733*J733</f>
        <v/>
      </c>
      <c r="L733" s="10">
        <f>IF(I733="Yes",G733*Assumptions!$B$5*J733,0)</f>
        <v/>
      </c>
    </row>
    <row r="734">
      <c r="A734" t="n">
        <v>1007</v>
      </c>
      <c r="B734" t="inlineStr">
        <is>
          <t>Research &amp; Development</t>
        </is>
      </c>
      <c r="C734" t="inlineStr">
        <is>
          <t>Manufacturing Director</t>
        </is>
      </c>
      <c r="D734" t="inlineStr">
        <is>
          <t>No</t>
        </is>
      </c>
      <c r="E734" s="8" t="n">
        <v>10845</v>
      </c>
      <c r="F734" s="8">
        <f>E734*Assumptions!$B$7</f>
        <v/>
      </c>
      <c r="G734" s="9" t="n">
        <v>0.03</v>
      </c>
      <c r="H734" t="inlineStr">
        <is>
          <t>Low</t>
        </is>
      </c>
      <c r="I734">
        <f>IF(G734&gt;=Assumptions!$B$4,"Yes","No")</f>
        <v/>
      </c>
      <c r="J734" s="8">
        <f>F734*Assumptions!$B$6</f>
        <v/>
      </c>
      <c r="K734" s="10">
        <f>G734*J734</f>
        <v/>
      </c>
      <c r="L734" s="10">
        <f>IF(I734="Yes",G734*Assumptions!$B$5*J734,0)</f>
        <v/>
      </c>
    </row>
    <row r="735">
      <c r="A735" t="n">
        <v>471</v>
      </c>
      <c r="B735" t="inlineStr">
        <is>
          <t>Research &amp; Development</t>
        </is>
      </c>
      <c r="C735" t="inlineStr">
        <is>
          <t>Laboratory Technician</t>
        </is>
      </c>
      <c r="D735" t="inlineStr">
        <is>
          <t>No</t>
        </is>
      </c>
      <c r="E735" s="8" t="n">
        <v>2370</v>
      </c>
      <c r="F735" s="8">
        <f>E735*Assumptions!$B$7</f>
        <v/>
      </c>
      <c r="G735" s="9" t="n">
        <v>0.03</v>
      </c>
      <c r="H735" t="inlineStr">
        <is>
          <t>Low</t>
        </is>
      </c>
      <c r="I735">
        <f>IF(G735&gt;=Assumptions!$B$4,"Yes","No")</f>
        <v/>
      </c>
      <c r="J735" s="8">
        <f>F735*Assumptions!$B$6</f>
        <v/>
      </c>
      <c r="K735" s="10">
        <f>G735*J735</f>
        <v/>
      </c>
      <c r="L735" s="10">
        <f>IF(I735="Yes",G735*Assumptions!$B$5*J735,0)</f>
        <v/>
      </c>
    </row>
    <row r="736">
      <c r="A736" t="n">
        <v>1898</v>
      </c>
      <c r="B736" t="inlineStr">
        <is>
          <t>Sales</t>
        </is>
      </c>
      <c r="C736" t="inlineStr">
        <is>
          <t>Sales Executive</t>
        </is>
      </c>
      <c r="D736" t="inlineStr">
        <is>
          <t>No</t>
        </is>
      </c>
      <c r="E736" s="8" t="n">
        <v>6500</v>
      </c>
      <c r="F736" s="8">
        <f>E736*Assumptions!$B$7</f>
        <v/>
      </c>
      <c r="G736" s="9" t="n">
        <v>0.0299</v>
      </c>
      <c r="H736" t="inlineStr">
        <is>
          <t>Low</t>
        </is>
      </c>
      <c r="I736">
        <f>IF(G736&gt;=Assumptions!$B$4,"Yes","No")</f>
        <v/>
      </c>
      <c r="J736" s="8">
        <f>F736*Assumptions!$B$6</f>
        <v/>
      </c>
      <c r="K736" s="10">
        <f>G736*J736</f>
        <v/>
      </c>
      <c r="L736" s="10">
        <f>IF(I736="Yes",G736*Assumptions!$B$5*J736,0)</f>
        <v/>
      </c>
    </row>
    <row r="737">
      <c r="A737" t="n">
        <v>199</v>
      </c>
      <c r="B737" t="inlineStr">
        <is>
          <t>Research &amp; Development</t>
        </is>
      </c>
      <c r="C737" t="inlineStr">
        <is>
          <t>Manager</t>
        </is>
      </c>
      <c r="D737" t="inlineStr">
        <is>
          <t>No</t>
        </is>
      </c>
      <c r="E737" s="8" t="n">
        <v>17181</v>
      </c>
      <c r="F737" s="8">
        <f>E737*Assumptions!$B$7</f>
        <v/>
      </c>
      <c r="G737" s="9" t="n">
        <v>0.0299</v>
      </c>
      <c r="H737" t="inlineStr">
        <is>
          <t>Low</t>
        </is>
      </c>
      <c r="I737">
        <f>IF(G737&gt;=Assumptions!$B$4,"Yes","No")</f>
        <v/>
      </c>
      <c r="J737" s="8">
        <f>F737*Assumptions!$B$6</f>
        <v/>
      </c>
      <c r="K737" s="10">
        <f>G737*J737</f>
        <v/>
      </c>
      <c r="L737" s="10">
        <f>IF(I737="Yes",G737*Assumptions!$B$5*J737,0)</f>
        <v/>
      </c>
    </row>
    <row r="738">
      <c r="A738" t="n">
        <v>958</v>
      </c>
      <c r="B738" t="inlineStr">
        <is>
          <t>Research &amp; Development</t>
        </is>
      </c>
      <c r="C738" t="inlineStr">
        <is>
          <t>Laboratory Technician</t>
        </is>
      </c>
      <c r="D738" t="inlineStr">
        <is>
          <t>No</t>
        </is>
      </c>
      <c r="E738" s="8" t="n">
        <v>2519</v>
      </c>
      <c r="F738" s="8">
        <f>E738*Assumptions!$B$7</f>
        <v/>
      </c>
      <c r="G738" s="9" t="n">
        <v>0.0297</v>
      </c>
      <c r="H738" t="inlineStr">
        <is>
          <t>Low</t>
        </is>
      </c>
      <c r="I738">
        <f>IF(G738&gt;=Assumptions!$B$4,"Yes","No")</f>
        <v/>
      </c>
      <c r="J738" s="8">
        <f>F738*Assumptions!$B$6</f>
        <v/>
      </c>
      <c r="K738" s="10">
        <f>G738*J738</f>
        <v/>
      </c>
      <c r="L738" s="10">
        <f>IF(I738="Yes",G738*Assumptions!$B$5*J738,0)</f>
        <v/>
      </c>
    </row>
    <row r="739">
      <c r="A739" t="n">
        <v>1786</v>
      </c>
      <c r="B739" t="inlineStr">
        <is>
          <t>Research &amp; Development</t>
        </is>
      </c>
      <c r="C739" t="inlineStr">
        <is>
          <t>Manager</t>
        </is>
      </c>
      <c r="D739" t="inlineStr">
        <is>
          <t>No</t>
        </is>
      </c>
      <c r="E739" s="8" t="n">
        <v>13116</v>
      </c>
      <c r="F739" s="8">
        <f>E739*Assumptions!$B$7</f>
        <v/>
      </c>
      <c r="G739" s="9" t="n">
        <v>0.0296</v>
      </c>
      <c r="H739" t="inlineStr">
        <is>
          <t>Low</t>
        </is>
      </c>
      <c r="I739">
        <f>IF(G739&gt;=Assumptions!$B$4,"Yes","No")</f>
        <v/>
      </c>
      <c r="J739" s="8">
        <f>F739*Assumptions!$B$6</f>
        <v/>
      </c>
      <c r="K739" s="10">
        <f>G739*J739</f>
        <v/>
      </c>
      <c r="L739" s="10">
        <f>IF(I739="Yes",G739*Assumptions!$B$5*J739,0)</f>
        <v/>
      </c>
    </row>
    <row r="740">
      <c r="A740" t="n">
        <v>1260</v>
      </c>
      <c r="B740" t="inlineStr">
        <is>
          <t>Research &amp; Development</t>
        </is>
      </c>
      <c r="C740" t="inlineStr">
        <is>
          <t>Healthcare Representative</t>
        </is>
      </c>
      <c r="D740" t="inlineStr">
        <is>
          <t>Yes</t>
        </is>
      </c>
      <c r="E740" s="8" t="n">
        <v>6623</v>
      </c>
      <c r="F740" s="8">
        <f>E740*Assumptions!$B$7</f>
        <v/>
      </c>
      <c r="G740" s="9" t="n">
        <v>0.0296</v>
      </c>
      <c r="H740" t="inlineStr">
        <is>
          <t>Low</t>
        </is>
      </c>
      <c r="I740">
        <f>IF(G740&gt;=Assumptions!$B$4,"Yes","No")</f>
        <v/>
      </c>
      <c r="J740" s="8">
        <f>F740*Assumptions!$B$6</f>
        <v/>
      </c>
      <c r="K740" s="10">
        <f>G740*J740</f>
        <v/>
      </c>
      <c r="L740" s="10">
        <f>IF(I740="Yes",G740*Assumptions!$B$5*J740,0)</f>
        <v/>
      </c>
    </row>
    <row r="741">
      <c r="A741" t="n">
        <v>1217</v>
      </c>
      <c r="B741" t="inlineStr">
        <is>
          <t>Research &amp; Development</t>
        </is>
      </c>
      <c r="C741" t="inlineStr">
        <is>
          <t>Research Director</t>
        </is>
      </c>
      <c r="D741" t="inlineStr">
        <is>
          <t>No</t>
        </is>
      </c>
      <c r="E741" s="8" t="n">
        <v>19081</v>
      </c>
      <c r="F741" s="8">
        <f>E741*Assumptions!$B$7</f>
        <v/>
      </c>
      <c r="G741" s="9" t="n">
        <v>0.0296</v>
      </c>
      <c r="H741" t="inlineStr">
        <is>
          <t>Low</t>
        </is>
      </c>
      <c r="I741">
        <f>IF(G741&gt;=Assumptions!$B$4,"Yes","No")</f>
        <v/>
      </c>
      <c r="J741" s="8">
        <f>F741*Assumptions!$B$6</f>
        <v/>
      </c>
      <c r="K741" s="10">
        <f>G741*J741</f>
        <v/>
      </c>
      <c r="L741" s="10">
        <f>IF(I741="Yes",G741*Assumptions!$B$5*J741,0)</f>
        <v/>
      </c>
    </row>
    <row r="742">
      <c r="A742" t="n">
        <v>1516</v>
      </c>
      <c r="B742" t="inlineStr">
        <is>
          <t>Research &amp; Development</t>
        </is>
      </c>
      <c r="C742" t="inlineStr">
        <is>
          <t>Manager</t>
        </is>
      </c>
      <c r="D742" t="inlineStr">
        <is>
          <t>No</t>
        </is>
      </c>
      <c r="E742" s="8" t="n">
        <v>11244</v>
      </c>
      <c r="F742" s="8">
        <f>E742*Assumptions!$B$7</f>
        <v/>
      </c>
      <c r="G742" s="9" t="n">
        <v>0.0295</v>
      </c>
      <c r="H742" t="inlineStr">
        <is>
          <t>Low</t>
        </is>
      </c>
      <c r="I742">
        <f>IF(G742&gt;=Assumptions!$B$4,"Yes","No")</f>
        <v/>
      </c>
      <c r="J742" s="8">
        <f>F742*Assumptions!$B$6</f>
        <v/>
      </c>
      <c r="K742" s="10">
        <f>G742*J742</f>
        <v/>
      </c>
      <c r="L742" s="10">
        <f>IF(I742="Yes",G742*Assumptions!$B$5*J742,0)</f>
        <v/>
      </c>
    </row>
    <row r="743">
      <c r="A743" t="n">
        <v>1446</v>
      </c>
      <c r="B743" t="inlineStr">
        <is>
          <t>Sales</t>
        </is>
      </c>
      <c r="C743" t="inlineStr">
        <is>
          <t>Sales Executive</t>
        </is>
      </c>
      <c r="D743" t="inlineStr">
        <is>
          <t>No</t>
        </is>
      </c>
      <c r="E743" s="8" t="n">
        <v>9204</v>
      </c>
      <c r="F743" s="8">
        <f>E743*Assumptions!$B$7</f>
        <v/>
      </c>
      <c r="G743" s="9" t="n">
        <v>0.0294</v>
      </c>
      <c r="H743" t="inlineStr">
        <is>
          <t>Low</t>
        </is>
      </c>
      <c r="I743">
        <f>IF(G743&gt;=Assumptions!$B$4,"Yes","No")</f>
        <v/>
      </c>
      <c r="J743" s="8">
        <f>F743*Assumptions!$B$6</f>
        <v/>
      </c>
      <c r="K743" s="10">
        <f>G743*J743</f>
        <v/>
      </c>
      <c r="L743" s="10">
        <f>IF(I743="Yes",G743*Assumptions!$B$5*J743,0)</f>
        <v/>
      </c>
    </row>
    <row r="744">
      <c r="A744" t="n">
        <v>151</v>
      </c>
      <c r="B744" t="inlineStr">
        <is>
          <t>Research &amp; Development</t>
        </is>
      </c>
      <c r="C744" t="inlineStr">
        <is>
          <t>Research Scientist</t>
        </is>
      </c>
      <c r="D744" t="inlineStr">
        <is>
          <t>No</t>
        </is>
      </c>
      <c r="E744" s="8" t="n">
        <v>4505</v>
      </c>
      <c r="F744" s="8">
        <f>E744*Assumptions!$B$7</f>
        <v/>
      </c>
      <c r="G744" s="9" t="n">
        <v>0.0291</v>
      </c>
      <c r="H744" t="inlineStr">
        <is>
          <t>Low</t>
        </is>
      </c>
      <c r="I744">
        <f>IF(G744&gt;=Assumptions!$B$4,"Yes","No")</f>
        <v/>
      </c>
      <c r="J744" s="8">
        <f>F744*Assumptions!$B$6</f>
        <v/>
      </c>
      <c r="K744" s="10">
        <f>G744*J744</f>
        <v/>
      </c>
      <c r="L744" s="10">
        <f>IF(I744="Yes",G744*Assumptions!$B$5*J744,0)</f>
        <v/>
      </c>
    </row>
    <row r="745">
      <c r="A745" t="n">
        <v>1084</v>
      </c>
      <c r="B745" t="inlineStr">
        <is>
          <t>Research &amp; Development</t>
        </is>
      </c>
      <c r="C745" t="inlineStr">
        <is>
          <t>Manufacturing Director</t>
        </is>
      </c>
      <c r="D745" t="inlineStr">
        <is>
          <t>No</t>
        </is>
      </c>
      <c r="E745" s="8" t="n">
        <v>9957</v>
      </c>
      <c r="F745" s="8">
        <f>E745*Assumptions!$B$7</f>
        <v/>
      </c>
      <c r="G745" s="9" t="n">
        <v>0.0289</v>
      </c>
      <c r="H745" t="inlineStr">
        <is>
          <t>Low</t>
        </is>
      </c>
      <c r="I745">
        <f>IF(G745&gt;=Assumptions!$B$4,"Yes","No")</f>
        <v/>
      </c>
      <c r="J745" s="8">
        <f>F745*Assumptions!$B$6</f>
        <v/>
      </c>
      <c r="K745" s="10">
        <f>G745*J745</f>
        <v/>
      </c>
      <c r="L745" s="10">
        <f>IF(I745="Yes",G745*Assumptions!$B$5*J745,0)</f>
        <v/>
      </c>
    </row>
    <row r="746">
      <c r="A746" t="n">
        <v>677</v>
      </c>
      <c r="B746" t="inlineStr">
        <is>
          <t>Sales</t>
        </is>
      </c>
      <c r="C746" t="inlineStr">
        <is>
          <t>Sales Executive</t>
        </is>
      </c>
      <c r="D746" t="inlineStr">
        <is>
          <t>No</t>
        </is>
      </c>
      <c r="E746" s="8" t="n">
        <v>7104</v>
      </c>
      <c r="F746" s="8">
        <f>E746*Assumptions!$B$7</f>
        <v/>
      </c>
      <c r="G746" s="9" t="n">
        <v>0.0287</v>
      </c>
      <c r="H746" t="inlineStr">
        <is>
          <t>Low</t>
        </is>
      </c>
      <c r="I746">
        <f>IF(G746&gt;=Assumptions!$B$4,"Yes","No")</f>
        <v/>
      </c>
      <c r="J746" s="8">
        <f>F746*Assumptions!$B$6</f>
        <v/>
      </c>
      <c r="K746" s="10">
        <f>G746*J746</f>
        <v/>
      </c>
      <c r="L746" s="10">
        <f>IF(I746="Yes",G746*Assumptions!$B$5*J746,0)</f>
        <v/>
      </c>
    </row>
    <row r="747">
      <c r="A747" t="n">
        <v>416</v>
      </c>
      <c r="B747" t="inlineStr">
        <is>
          <t>Sales</t>
        </is>
      </c>
      <c r="C747" t="inlineStr">
        <is>
          <t>Sales Executive</t>
        </is>
      </c>
      <c r="D747" t="inlineStr">
        <is>
          <t>No</t>
        </is>
      </c>
      <c r="E747" s="8" t="n">
        <v>6929</v>
      </c>
      <c r="F747" s="8">
        <f>E747*Assumptions!$B$7</f>
        <v/>
      </c>
      <c r="G747" s="9" t="n">
        <v>0.0287</v>
      </c>
      <c r="H747" t="inlineStr">
        <is>
          <t>Low</t>
        </is>
      </c>
      <c r="I747">
        <f>IF(G747&gt;=Assumptions!$B$4,"Yes","No")</f>
        <v/>
      </c>
      <c r="J747" s="8">
        <f>F747*Assumptions!$B$6</f>
        <v/>
      </c>
      <c r="K747" s="10">
        <f>G747*J747</f>
        <v/>
      </c>
      <c r="L747" s="10">
        <f>IF(I747="Yes",G747*Assumptions!$B$5*J747,0)</f>
        <v/>
      </c>
    </row>
    <row r="748">
      <c r="A748" t="n">
        <v>1740</v>
      </c>
      <c r="B748" t="inlineStr">
        <is>
          <t>Sales</t>
        </is>
      </c>
      <c r="C748" t="inlineStr">
        <is>
          <t>Manager</t>
        </is>
      </c>
      <c r="D748" t="inlineStr">
        <is>
          <t>No</t>
        </is>
      </c>
      <c r="E748" s="8" t="n">
        <v>19833</v>
      </c>
      <c r="F748" s="8">
        <f>E748*Assumptions!$B$7</f>
        <v/>
      </c>
      <c r="G748" s="9" t="n">
        <v>0.0287</v>
      </c>
      <c r="H748" t="inlineStr">
        <is>
          <t>Low</t>
        </is>
      </c>
      <c r="I748">
        <f>IF(G748&gt;=Assumptions!$B$4,"Yes","No")</f>
        <v/>
      </c>
      <c r="J748" s="8">
        <f>F748*Assumptions!$B$6</f>
        <v/>
      </c>
      <c r="K748" s="10">
        <f>G748*J748</f>
        <v/>
      </c>
      <c r="L748" s="10">
        <f>IF(I748="Yes",G748*Assumptions!$B$5*J748,0)</f>
        <v/>
      </c>
    </row>
    <row r="749">
      <c r="A749" t="n">
        <v>88</v>
      </c>
      <c r="B749" t="inlineStr">
        <is>
          <t>Research &amp; Development</t>
        </is>
      </c>
      <c r="C749" t="inlineStr">
        <is>
          <t>Research Scientist</t>
        </is>
      </c>
      <c r="D749" t="inlineStr">
        <is>
          <t>No</t>
        </is>
      </c>
      <c r="E749" s="8" t="n">
        <v>2194</v>
      </c>
      <c r="F749" s="8">
        <f>E749*Assumptions!$B$7</f>
        <v/>
      </c>
      <c r="G749" s="9" t="n">
        <v>0.0287</v>
      </c>
      <c r="H749" t="inlineStr">
        <is>
          <t>Low</t>
        </is>
      </c>
      <c r="I749">
        <f>IF(G749&gt;=Assumptions!$B$4,"Yes","No")</f>
        <v/>
      </c>
      <c r="J749" s="8">
        <f>F749*Assumptions!$B$6</f>
        <v/>
      </c>
      <c r="K749" s="10">
        <f>G749*J749</f>
        <v/>
      </c>
      <c r="L749" s="10">
        <f>IF(I749="Yes",G749*Assumptions!$B$5*J749,0)</f>
        <v/>
      </c>
    </row>
    <row r="750">
      <c r="A750" t="n">
        <v>1306</v>
      </c>
      <c r="B750" t="inlineStr">
        <is>
          <t>Research &amp; Development</t>
        </is>
      </c>
      <c r="C750" t="inlineStr">
        <is>
          <t>Manager</t>
        </is>
      </c>
      <c r="D750" t="inlineStr">
        <is>
          <t>No</t>
        </is>
      </c>
      <c r="E750" s="8" t="n">
        <v>18061</v>
      </c>
      <c r="F750" s="8">
        <f>E750*Assumptions!$B$7</f>
        <v/>
      </c>
      <c r="G750" s="9" t="n">
        <v>0.0286</v>
      </c>
      <c r="H750" t="inlineStr">
        <is>
          <t>Low</t>
        </is>
      </c>
      <c r="I750">
        <f>IF(G750&gt;=Assumptions!$B$4,"Yes","No")</f>
        <v/>
      </c>
      <c r="J750" s="8">
        <f>F750*Assumptions!$B$6</f>
        <v/>
      </c>
      <c r="K750" s="10">
        <f>G750*J750</f>
        <v/>
      </c>
      <c r="L750" s="10">
        <f>IF(I750="Yes",G750*Assumptions!$B$5*J750,0)</f>
        <v/>
      </c>
    </row>
    <row r="751">
      <c r="A751" t="n">
        <v>1499</v>
      </c>
      <c r="B751" t="inlineStr">
        <is>
          <t>Human Resources</t>
        </is>
      </c>
      <c r="C751" t="inlineStr">
        <is>
          <t>Human Resources</t>
        </is>
      </c>
      <c r="D751" t="inlineStr">
        <is>
          <t>No</t>
        </is>
      </c>
      <c r="E751" s="8" t="n">
        <v>2064</v>
      </c>
      <c r="F751" s="8">
        <f>E751*Assumptions!$B$7</f>
        <v/>
      </c>
      <c r="G751" s="9" t="n">
        <v>0.0286</v>
      </c>
      <c r="H751" t="inlineStr">
        <is>
          <t>Low</t>
        </is>
      </c>
      <c r="I751">
        <f>IF(G751&gt;=Assumptions!$B$4,"Yes","No")</f>
        <v/>
      </c>
      <c r="J751" s="8">
        <f>F751*Assumptions!$B$6</f>
        <v/>
      </c>
      <c r="K751" s="10">
        <f>G751*J751</f>
        <v/>
      </c>
      <c r="L751" s="10">
        <f>IF(I751="Yes",G751*Assumptions!$B$5*J751,0)</f>
        <v/>
      </c>
    </row>
    <row r="752">
      <c r="A752" t="n">
        <v>857</v>
      </c>
      <c r="B752" t="inlineStr">
        <is>
          <t>Sales</t>
        </is>
      </c>
      <c r="C752" t="inlineStr">
        <is>
          <t>Sales Executive</t>
        </is>
      </c>
      <c r="D752" t="inlineStr">
        <is>
          <t>Yes</t>
        </is>
      </c>
      <c r="E752" s="8" t="n">
        <v>6201</v>
      </c>
      <c r="F752" s="8">
        <f>E752*Assumptions!$B$7</f>
        <v/>
      </c>
      <c r="G752" s="9" t="n">
        <v>0.0286</v>
      </c>
      <c r="H752" t="inlineStr">
        <is>
          <t>Low</t>
        </is>
      </c>
      <c r="I752">
        <f>IF(G752&gt;=Assumptions!$B$4,"Yes","No")</f>
        <v/>
      </c>
      <c r="J752" s="8">
        <f>F752*Assumptions!$B$6</f>
        <v/>
      </c>
      <c r="K752" s="10">
        <f>G752*J752</f>
        <v/>
      </c>
      <c r="L752" s="10">
        <f>IF(I752="Yes",G752*Assumptions!$B$5*J752,0)</f>
        <v/>
      </c>
    </row>
    <row r="753">
      <c r="A753" t="n">
        <v>600</v>
      </c>
      <c r="B753" t="inlineStr">
        <is>
          <t>Sales</t>
        </is>
      </c>
      <c r="C753" t="inlineStr">
        <is>
          <t>Sales Executive</t>
        </is>
      </c>
      <c r="D753" t="inlineStr">
        <is>
          <t>No</t>
        </is>
      </c>
      <c r="E753" s="8" t="n">
        <v>4717</v>
      </c>
      <c r="F753" s="8">
        <f>E753*Assumptions!$B$7</f>
        <v/>
      </c>
      <c r="G753" s="9" t="n">
        <v>0.0286</v>
      </c>
      <c r="H753" t="inlineStr">
        <is>
          <t>Low</t>
        </is>
      </c>
      <c r="I753">
        <f>IF(G753&gt;=Assumptions!$B$4,"Yes","No")</f>
        <v/>
      </c>
      <c r="J753" s="8">
        <f>F753*Assumptions!$B$6</f>
        <v/>
      </c>
      <c r="K753" s="10">
        <f>G753*J753</f>
        <v/>
      </c>
      <c r="L753" s="10">
        <f>IF(I753="Yes",G753*Assumptions!$B$5*J753,0)</f>
        <v/>
      </c>
    </row>
    <row r="754">
      <c r="A754" t="n">
        <v>38</v>
      </c>
      <c r="B754" t="inlineStr">
        <is>
          <t>Sales</t>
        </is>
      </c>
      <c r="C754" t="inlineStr">
        <is>
          <t>Manager</t>
        </is>
      </c>
      <c r="D754" t="inlineStr">
        <is>
          <t>No</t>
        </is>
      </c>
      <c r="E754" s="8" t="n">
        <v>18947</v>
      </c>
      <c r="F754" s="8">
        <f>E754*Assumptions!$B$7</f>
        <v/>
      </c>
      <c r="G754" s="9" t="n">
        <v>0.0283</v>
      </c>
      <c r="H754" t="inlineStr">
        <is>
          <t>Low</t>
        </is>
      </c>
      <c r="I754">
        <f>IF(G754&gt;=Assumptions!$B$4,"Yes","No")</f>
        <v/>
      </c>
      <c r="J754" s="8">
        <f>F754*Assumptions!$B$6</f>
        <v/>
      </c>
      <c r="K754" s="10">
        <f>G754*J754</f>
        <v/>
      </c>
      <c r="L754" s="10">
        <f>IF(I754="Yes",G754*Assumptions!$B$5*J754,0)</f>
        <v/>
      </c>
    </row>
    <row r="755">
      <c r="A755" t="n">
        <v>823</v>
      </c>
      <c r="B755" t="inlineStr">
        <is>
          <t>Research &amp; Development</t>
        </is>
      </c>
      <c r="C755" t="inlineStr">
        <is>
          <t>Manufacturing Director</t>
        </is>
      </c>
      <c r="D755" t="inlineStr">
        <is>
          <t>No</t>
        </is>
      </c>
      <c r="E755" s="8" t="n">
        <v>5228</v>
      </c>
      <c r="F755" s="8">
        <f>E755*Assumptions!$B$7</f>
        <v/>
      </c>
      <c r="G755" s="9" t="n">
        <v>0.0283</v>
      </c>
      <c r="H755" t="inlineStr">
        <is>
          <t>Low</t>
        </is>
      </c>
      <c r="I755">
        <f>IF(G755&gt;=Assumptions!$B$4,"Yes","No")</f>
        <v/>
      </c>
      <c r="J755" s="8">
        <f>F755*Assumptions!$B$6</f>
        <v/>
      </c>
      <c r="K755" s="10">
        <f>G755*J755</f>
        <v/>
      </c>
      <c r="L755" s="10">
        <f>IF(I755="Yes",G755*Assumptions!$B$5*J755,0)</f>
        <v/>
      </c>
    </row>
    <row r="756">
      <c r="A756" t="n">
        <v>1392</v>
      </c>
      <c r="B756" t="inlineStr">
        <is>
          <t>Research &amp; Development</t>
        </is>
      </c>
      <c r="C756" t="inlineStr">
        <is>
          <t>Research Scientist</t>
        </is>
      </c>
      <c r="D756" t="inlineStr">
        <is>
          <t>Yes</t>
        </is>
      </c>
      <c r="E756" s="8" t="n">
        <v>5467</v>
      </c>
      <c r="F756" s="8">
        <f>E756*Assumptions!$B$7</f>
        <v/>
      </c>
      <c r="G756" s="9" t="n">
        <v>0.028</v>
      </c>
      <c r="H756" t="inlineStr">
        <is>
          <t>Low</t>
        </is>
      </c>
      <c r="I756">
        <f>IF(G756&gt;=Assumptions!$B$4,"Yes","No")</f>
        <v/>
      </c>
      <c r="J756" s="8">
        <f>F756*Assumptions!$B$6</f>
        <v/>
      </c>
      <c r="K756" s="10">
        <f>G756*J756</f>
        <v/>
      </c>
      <c r="L756" s="10">
        <f>IF(I756="Yes",G756*Assumptions!$B$5*J756,0)</f>
        <v/>
      </c>
    </row>
    <row r="757">
      <c r="A757" t="n">
        <v>1143</v>
      </c>
      <c r="B757" t="inlineStr">
        <is>
          <t>Research &amp; Development</t>
        </is>
      </c>
      <c r="C757" t="inlineStr">
        <is>
          <t>Research Scientist</t>
        </is>
      </c>
      <c r="D757" t="inlineStr">
        <is>
          <t>No</t>
        </is>
      </c>
      <c r="E757" s="8" t="n">
        <v>3291</v>
      </c>
      <c r="F757" s="8">
        <f>E757*Assumptions!$B$7</f>
        <v/>
      </c>
      <c r="G757" s="9" t="n">
        <v>0.0278</v>
      </c>
      <c r="H757" t="inlineStr">
        <is>
          <t>Low</t>
        </is>
      </c>
      <c r="I757">
        <f>IF(G757&gt;=Assumptions!$B$4,"Yes","No")</f>
        <v/>
      </c>
      <c r="J757" s="8">
        <f>F757*Assumptions!$B$6</f>
        <v/>
      </c>
      <c r="K757" s="10">
        <f>G757*J757</f>
        <v/>
      </c>
      <c r="L757" s="10">
        <f>IF(I757="Yes",G757*Assumptions!$B$5*J757,0)</f>
        <v/>
      </c>
    </row>
    <row r="758">
      <c r="A758" t="n">
        <v>1985</v>
      </c>
      <c r="B758" t="inlineStr">
        <is>
          <t>Research &amp; Development</t>
        </is>
      </c>
      <c r="C758" t="inlineStr">
        <is>
          <t>Laboratory Technician</t>
        </is>
      </c>
      <c r="D758" t="inlineStr">
        <is>
          <t>No</t>
        </is>
      </c>
      <c r="E758" s="8" t="n">
        <v>6323</v>
      </c>
      <c r="F758" s="8">
        <f>E758*Assumptions!$B$7</f>
        <v/>
      </c>
      <c r="G758" s="9" t="n">
        <v>0.0278</v>
      </c>
      <c r="H758" t="inlineStr">
        <is>
          <t>Low</t>
        </is>
      </c>
      <c r="I758">
        <f>IF(G758&gt;=Assumptions!$B$4,"Yes","No")</f>
        <v/>
      </c>
      <c r="J758" s="8">
        <f>F758*Assumptions!$B$6</f>
        <v/>
      </c>
      <c r="K758" s="10">
        <f>G758*J758</f>
        <v/>
      </c>
      <c r="L758" s="10">
        <f>IF(I758="Yes",G758*Assumptions!$B$5*J758,0)</f>
        <v/>
      </c>
    </row>
    <row r="759">
      <c r="A759" t="n">
        <v>1338</v>
      </c>
      <c r="B759" t="inlineStr">
        <is>
          <t>Human Resources</t>
        </is>
      </c>
      <c r="C759" t="inlineStr">
        <is>
          <t>Manager</t>
        </is>
      </c>
      <c r="D759" t="inlineStr">
        <is>
          <t>No</t>
        </is>
      </c>
      <c r="E759" s="8" t="n">
        <v>19717</v>
      </c>
      <c r="F759" s="8">
        <f>E759*Assumptions!$B$7</f>
        <v/>
      </c>
      <c r="G759" s="9" t="n">
        <v>0.0277</v>
      </c>
      <c r="H759" t="inlineStr">
        <is>
          <t>Low</t>
        </is>
      </c>
      <c r="I759">
        <f>IF(G759&gt;=Assumptions!$B$4,"Yes","No")</f>
        <v/>
      </c>
      <c r="J759" s="8">
        <f>F759*Assumptions!$B$6</f>
        <v/>
      </c>
      <c r="K759" s="10">
        <f>G759*J759</f>
        <v/>
      </c>
      <c r="L759" s="10">
        <f>IF(I759="Yes",G759*Assumptions!$B$5*J759,0)</f>
        <v/>
      </c>
    </row>
    <row r="760">
      <c r="A760" t="n">
        <v>2013</v>
      </c>
      <c r="B760" t="inlineStr">
        <is>
          <t>Sales</t>
        </is>
      </c>
      <c r="C760" t="inlineStr">
        <is>
          <t>Sales Representative</t>
        </is>
      </c>
      <c r="D760" t="inlineStr">
        <is>
          <t>No</t>
        </is>
      </c>
      <c r="E760" s="8" t="n">
        <v>2269</v>
      </c>
      <c r="F760" s="8">
        <f>E760*Assumptions!$B$7</f>
        <v/>
      </c>
      <c r="G760" s="9" t="n">
        <v>0.0276</v>
      </c>
      <c r="H760" t="inlineStr">
        <is>
          <t>Low</t>
        </is>
      </c>
      <c r="I760">
        <f>IF(G760&gt;=Assumptions!$B$4,"Yes","No")</f>
        <v/>
      </c>
      <c r="J760" s="8">
        <f>F760*Assumptions!$B$6</f>
        <v/>
      </c>
      <c r="K760" s="10">
        <f>G760*J760</f>
        <v/>
      </c>
      <c r="L760" s="10">
        <f>IF(I760="Yes",G760*Assumptions!$B$5*J760,0)</f>
        <v/>
      </c>
    </row>
    <row r="761">
      <c r="A761" t="n">
        <v>132</v>
      </c>
      <c r="B761" t="inlineStr">
        <is>
          <t>Research &amp; Development</t>
        </is>
      </c>
      <c r="C761" t="inlineStr">
        <is>
          <t>Laboratory Technician</t>
        </is>
      </c>
      <c r="D761" t="inlineStr">
        <is>
          <t>No</t>
        </is>
      </c>
      <c r="E761" s="8" t="n">
        <v>2042</v>
      </c>
      <c r="F761" s="8">
        <f>E761*Assumptions!$B$7</f>
        <v/>
      </c>
      <c r="G761" s="9" t="n">
        <v>0.0275</v>
      </c>
      <c r="H761" t="inlineStr">
        <is>
          <t>Low</t>
        </is>
      </c>
      <c r="I761">
        <f>IF(G761&gt;=Assumptions!$B$4,"Yes","No")</f>
        <v/>
      </c>
      <c r="J761" s="8">
        <f>F761*Assumptions!$B$6</f>
        <v/>
      </c>
      <c r="K761" s="10">
        <f>G761*J761</f>
        <v/>
      </c>
      <c r="L761" s="10">
        <f>IF(I761="Yes",G761*Assumptions!$B$5*J761,0)</f>
        <v/>
      </c>
    </row>
    <row r="762">
      <c r="A762" t="n">
        <v>1068</v>
      </c>
      <c r="B762" t="inlineStr">
        <is>
          <t>Research &amp; Development</t>
        </is>
      </c>
      <c r="C762" t="inlineStr">
        <is>
          <t>Research Scientist</t>
        </is>
      </c>
      <c r="D762" t="inlineStr">
        <is>
          <t>No</t>
        </is>
      </c>
      <c r="E762" s="8" t="n">
        <v>2007</v>
      </c>
      <c r="F762" s="8">
        <f>E762*Assumptions!$B$7</f>
        <v/>
      </c>
      <c r="G762" s="9" t="n">
        <v>0.0275</v>
      </c>
      <c r="H762" t="inlineStr">
        <is>
          <t>Low</t>
        </is>
      </c>
      <c r="I762">
        <f>IF(G762&gt;=Assumptions!$B$4,"Yes","No")</f>
        <v/>
      </c>
      <c r="J762" s="8">
        <f>F762*Assumptions!$B$6</f>
        <v/>
      </c>
      <c r="K762" s="10">
        <f>G762*J762</f>
        <v/>
      </c>
      <c r="L762" s="10">
        <f>IF(I762="Yes",G762*Assumptions!$B$5*J762,0)</f>
        <v/>
      </c>
    </row>
    <row r="763">
      <c r="A763" t="n">
        <v>150</v>
      </c>
      <c r="B763" t="inlineStr">
        <is>
          <t>Research &amp; Development</t>
        </is>
      </c>
      <c r="C763" t="inlineStr">
        <is>
          <t>Laboratory Technician</t>
        </is>
      </c>
      <c r="D763" t="inlineStr">
        <is>
          <t>No</t>
        </is>
      </c>
      <c r="E763" s="8" t="n">
        <v>2774</v>
      </c>
      <c r="F763" s="8">
        <f>E763*Assumptions!$B$7</f>
        <v/>
      </c>
      <c r="G763" s="9" t="n">
        <v>0.0275</v>
      </c>
      <c r="H763" t="inlineStr">
        <is>
          <t>Low</t>
        </is>
      </c>
      <c r="I763">
        <f>IF(G763&gt;=Assumptions!$B$4,"Yes","No")</f>
        <v/>
      </c>
      <c r="J763" s="8">
        <f>F763*Assumptions!$B$6</f>
        <v/>
      </c>
      <c r="K763" s="10">
        <f>G763*J763</f>
        <v/>
      </c>
      <c r="L763" s="10">
        <f>IF(I763="Yes",G763*Assumptions!$B$5*J763,0)</f>
        <v/>
      </c>
    </row>
    <row r="764">
      <c r="A764" t="n">
        <v>700</v>
      </c>
      <c r="B764" t="inlineStr">
        <is>
          <t>Research &amp; Development</t>
        </is>
      </c>
      <c r="C764" t="inlineStr">
        <is>
          <t>Research Scientist</t>
        </is>
      </c>
      <c r="D764" t="inlineStr">
        <is>
          <t>No</t>
        </is>
      </c>
      <c r="E764" s="8" t="n">
        <v>2045</v>
      </c>
      <c r="F764" s="8">
        <f>E764*Assumptions!$B$7</f>
        <v/>
      </c>
      <c r="G764" s="9" t="n">
        <v>0.0273</v>
      </c>
      <c r="H764" t="inlineStr">
        <is>
          <t>Low</t>
        </is>
      </c>
      <c r="I764">
        <f>IF(G764&gt;=Assumptions!$B$4,"Yes","No")</f>
        <v/>
      </c>
      <c r="J764" s="8">
        <f>F764*Assumptions!$B$6</f>
        <v/>
      </c>
      <c r="K764" s="10">
        <f>G764*J764</f>
        <v/>
      </c>
      <c r="L764" s="10">
        <f>IF(I764="Yes",G764*Assumptions!$B$5*J764,0)</f>
        <v/>
      </c>
    </row>
    <row r="765">
      <c r="A765" t="n">
        <v>1304</v>
      </c>
      <c r="B765" t="inlineStr">
        <is>
          <t>Sales</t>
        </is>
      </c>
      <c r="C765" t="inlineStr">
        <is>
          <t>Sales Executive</t>
        </is>
      </c>
      <c r="D765" t="inlineStr">
        <is>
          <t>No</t>
        </is>
      </c>
      <c r="E765" s="8" t="n">
        <v>6209</v>
      </c>
      <c r="F765" s="8">
        <f>E765*Assumptions!$B$7</f>
        <v/>
      </c>
      <c r="G765" s="9" t="n">
        <v>0.0272</v>
      </c>
      <c r="H765" t="inlineStr">
        <is>
          <t>Low</t>
        </is>
      </c>
      <c r="I765">
        <f>IF(G765&gt;=Assumptions!$B$4,"Yes","No")</f>
        <v/>
      </c>
      <c r="J765" s="8">
        <f>F765*Assumptions!$B$6</f>
        <v/>
      </c>
      <c r="K765" s="10">
        <f>G765*J765</f>
        <v/>
      </c>
      <c r="L765" s="10">
        <f>IF(I765="Yes",G765*Assumptions!$B$5*J765,0)</f>
        <v/>
      </c>
    </row>
    <row r="766">
      <c r="A766" t="n">
        <v>293</v>
      </c>
      <c r="B766" t="inlineStr">
        <is>
          <t>Sales</t>
        </is>
      </c>
      <c r="C766" t="inlineStr">
        <is>
          <t>Sales Executive</t>
        </is>
      </c>
      <c r="D766" t="inlineStr">
        <is>
          <t>No</t>
        </is>
      </c>
      <c r="E766" s="8" t="n">
        <v>9981</v>
      </c>
      <c r="F766" s="8">
        <f>E766*Assumptions!$B$7</f>
        <v/>
      </c>
      <c r="G766" s="9" t="n">
        <v>0.0271</v>
      </c>
      <c r="H766" t="inlineStr">
        <is>
          <t>Low</t>
        </is>
      </c>
      <c r="I766">
        <f>IF(G766&gt;=Assumptions!$B$4,"Yes","No")</f>
        <v/>
      </c>
      <c r="J766" s="8">
        <f>F766*Assumptions!$B$6</f>
        <v/>
      </c>
      <c r="K766" s="10">
        <f>G766*J766</f>
        <v/>
      </c>
      <c r="L766" s="10">
        <f>IF(I766="Yes",G766*Assumptions!$B$5*J766,0)</f>
        <v/>
      </c>
    </row>
    <row r="767">
      <c r="A767" t="n">
        <v>567</v>
      </c>
      <c r="B767" t="inlineStr">
        <is>
          <t>Sales</t>
        </is>
      </c>
      <c r="C767" t="inlineStr">
        <is>
          <t>Sales Executive</t>
        </is>
      </c>
      <c r="D767" t="inlineStr">
        <is>
          <t>No</t>
        </is>
      </c>
      <c r="E767" s="8" t="n">
        <v>8412</v>
      </c>
      <c r="F767" s="8">
        <f>E767*Assumptions!$B$7</f>
        <v/>
      </c>
      <c r="G767" s="9" t="n">
        <v>0.0271</v>
      </c>
      <c r="H767" t="inlineStr">
        <is>
          <t>Low</t>
        </is>
      </c>
      <c r="I767">
        <f>IF(G767&gt;=Assumptions!$B$4,"Yes","No")</f>
        <v/>
      </c>
      <c r="J767" s="8">
        <f>F767*Assumptions!$B$6</f>
        <v/>
      </c>
      <c r="K767" s="10">
        <f>G767*J767</f>
        <v/>
      </c>
      <c r="L767" s="10">
        <f>IF(I767="Yes",G767*Assumptions!$B$5*J767,0)</f>
        <v/>
      </c>
    </row>
    <row r="768">
      <c r="A768" t="n">
        <v>599</v>
      </c>
      <c r="B768" t="inlineStr">
        <is>
          <t>Sales</t>
        </is>
      </c>
      <c r="C768" t="inlineStr">
        <is>
          <t>Sales Executive</t>
        </is>
      </c>
      <c r="D768" t="inlineStr">
        <is>
          <t>No</t>
        </is>
      </c>
      <c r="E768" s="8" t="n">
        <v>6230</v>
      </c>
      <c r="F768" s="8">
        <f>E768*Assumptions!$B$7</f>
        <v/>
      </c>
      <c r="G768" s="9" t="n">
        <v>0.0269</v>
      </c>
      <c r="H768" t="inlineStr">
        <is>
          <t>Low</t>
        </is>
      </c>
      <c r="I768">
        <f>IF(G768&gt;=Assumptions!$B$4,"Yes","No")</f>
        <v/>
      </c>
      <c r="J768" s="8">
        <f>F768*Assumptions!$B$6</f>
        <v/>
      </c>
      <c r="K768" s="10">
        <f>G768*J768</f>
        <v/>
      </c>
      <c r="L768" s="10">
        <f>IF(I768="Yes",G768*Assumptions!$B$5*J768,0)</f>
        <v/>
      </c>
    </row>
    <row r="769">
      <c r="A769" t="n">
        <v>35</v>
      </c>
      <c r="B769" t="inlineStr">
        <is>
          <t>Sales</t>
        </is>
      </c>
      <c r="C769" t="inlineStr">
        <is>
          <t>Sales Executive</t>
        </is>
      </c>
      <c r="D769" t="inlineStr">
        <is>
          <t>No</t>
        </is>
      </c>
      <c r="E769" s="8" t="n">
        <v>6825</v>
      </c>
      <c r="F769" s="8">
        <f>E769*Assumptions!$B$7</f>
        <v/>
      </c>
      <c r="G769" s="9" t="n">
        <v>0.0269</v>
      </c>
      <c r="H769" t="inlineStr">
        <is>
          <t>Low</t>
        </is>
      </c>
      <c r="I769">
        <f>IF(G769&gt;=Assumptions!$B$4,"Yes","No")</f>
        <v/>
      </c>
      <c r="J769" s="8">
        <f>F769*Assumptions!$B$6</f>
        <v/>
      </c>
      <c r="K769" s="10">
        <f>G769*J769</f>
        <v/>
      </c>
      <c r="L769" s="10">
        <f>IF(I769="Yes",G769*Assumptions!$B$5*J769,0)</f>
        <v/>
      </c>
    </row>
    <row r="770">
      <c r="A770" t="n">
        <v>536</v>
      </c>
      <c r="B770" t="inlineStr">
        <is>
          <t>Research &amp; Development</t>
        </is>
      </c>
      <c r="C770" t="inlineStr">
        <is>
          <t>Laboratory Technician</t>
        </is>
      </c>
      <c r="D770" t="inlineStr">
        <is>
          <t>No</t>
        </is>
      </c>
      <c r="E770" s="8" t="n">
        <v>4558</v>
      </c>
      <c r="F770" s="8">
        <f>E770*Assumptions!$B$7</f>
        <v/>
      </c>
      <c r="G770" s="9" t="n">
        <v>0.0265</v>
      </c>
      <c r="H770" t="inlineStr">
        <is>
          <t>Low</t>
        </is>
      </c>
      <c r="I770">
        <f>IF(G770&gt;=Assumptions!$B$4,"Yes","No")</f>
        <v/>
      </c>
      <c r="J770" s="8">
        <f>F770*Assumptions!$B$6</f>
        <v/>
      </c>
      <c r="K770" s="10">
        <f>G770*J770</f>
        <v/>
      </c>
      <c r="L770" s="10">
        <f>IF(I770="Yes",G770*Assumptions!$B$5*J770,0)</f>
        <v/>
      </c>
    </row>
    <row r="771">
      <c r="A771" t="n">
        <v>1094</v>
      </c>
      <c r="B771" t="inlineStr">
        <is>
          <t>Research &amp; Development</t>
        </is>
      </c>
      <c r="C771" t="inlineStr">
        <is>
          <t>Laboratory Technician</t>
        </is>
      </c>
      <c r="D771" t="inlineStr">
        <is>
          <t>No</t>
        </is>
      </c>
      <c r="E771" s="8" t="n">
        <v>4621</v>
      </c>
      <c r="F771" s="8">
        <f>E771*Assumptions!$B$7</f>
        <v/>
      </c>
      <c r="G771" s="9" t="n">
        <v>0.0264</v>
      </c>
      <c r="H771" t="inlineStr">
        <is>
          <t>Low</t>
        </is>
      </c>
      <c r="I771">
        <f>IF(G771&gt;=Assumptions!$B$4,"Yes","No")</f>
        <v/>
      </c>
      <c r="J771" s="8">
        <f>F771*Assumptions!$B$6</f>
        <v/>
      </c>
      <c r="K771" s="10">
        <f>G771*J771</f>
        <v/>
      </c>
      <c r="L771" s="10">
        <f>IF(I771="Yes",G771*Assumptions!$B$5*J771,0)</f>
        <v/>
      </c>
    </row>
    <row r="772">
      <c r="A772" t="n">
        <v>1482</v>
      </c>
      <c r="B772" t="inlineStr">
        <is>
          <t>Research &amp; Development</t>
        </is>
      </c>
      <c r="C772" t="inlineStr">
        <is>
          <t>Research Scientist</t>
        </is>
      </c>
      <c r="D772" t="inlineStr">
        <is>
          <t>No</t>
        </is>
      </c>
      <c r="E772" s="8" t="n">
        <v>1274</v>
      </c>
      <c r="F772" s="8">
        <f>E772*Assumptions!$B$7</f>
        <v/>
      </c>
      <c r="G772" s="9" t="n">
        <v>0.0264</v>
      </c>
      <c r="H772" t="inlineStr">
        <is>
          <t>Low</t>
        </is>
      </c>
      <c r="I772">
        <f>IF(G772&gt;=Assumptions!$B$4,"Yes","No")</f>
        <v/>
      </c>
      <c r="J772" s="8">
        <f>F772*Assumptions!$B$6</f>
        <v/>
      </c>
      <c r="K772" s="10">
        <f>G772*J772</f>
        <v/>
      </c>
      <c r="L772" s="10">
        <f>IF(I772="Yes",G772*Assumptions!$B$5*J772,0)</f>
        <v/>
      </c>
    </row>
    <row r="773">
      <c r="A773" t="n">
        <v>1554</v>
      </c>
      <c r="B773" t="inlineStr">
        <is>
          <t>Sales</t>
        </is>
      </c>
      <c r="C773" t="inlineStr">
        <is>
          <t>Sales Representative</t>
        </is>
      </c>
      <c r="D773" t="inlineStr">
        <is>
          <t>No</t>
        </is>
      </c>
      <c r="E773" s="8" t="n">
        <v>2430</v>
      </c>
      <c r="F773" s="8">
        <f>E773*Assumptions!$B$7</f>
        <v/>
      </c>
      <c r="G773" s="9" t="n">
        <v>0.0262</v>
      </c>
      <c r="H773" t="inlineStr">
        <is>
          <t>Low</t>
        </is>
      </c>
      <c r="I773">
        <f>IF(G773&gt;=Assumptions!$B$4,"Yes","No")</f>
        <v/>
      </c>
      <c r="J773" s="8">
        <f>F773*Assumptions!$B$6</f>
        <v/>
      </c>
      <c r="K773" s="10">
        <f>G773*J773</f>
        <v/>
      </c>
      <c r="L773" s="10">
        <f>IF(I773="Yes",G773*Assumptions!$B$5*J773,0)</f>
        <v/>
      </c>
    </row>
    <row r="774">
      <c r="A774" t="n">
        <v>1525</v>
      </c>
      <c r="B774" t="inlineStr">
        <is>
          <t>Research &amp; Development</t>
        </is>
      </c>
      <c r="C774" t="inlineStr">
        <is>
          <t>Manufacturing Director</t>
        </is>
      </c>
      <c r="D774" t="inlineStr">
        <is>
          <t>No</t>
        </is>
      </c>
      <c r="E774" s="8" t="n">
        <v>8376</v>
      </c>
      <c r="F774" s="8">
        <f>E774*Assumptions!$B$7</f>
        <v/>
      </c>
      <c r="G774" s="9" t="n">
        <v>0.0261</v>
      </c>
      <c r="H774" t="inlineStr">
        <is>
          <t>Low</t>
        </is>
      </c>
      <c r="I774">
        <f>IF(G774&gt;=Assumptions!$B$4,"Yes","No")</f>
        <v/>
      </c>
      <c r="J774" s="8">
        <f>F774*Assumptions!$B$6</f>
        <v/>
      </c>
      <c r="K774" s="10">
        <f>G774*J774</f>
        <v/>
      </c>
      <c r="L774" s="10">
        <f>IF(I774="Yes",G774*Assumptions!$B$5*J774,0)</f>
        <v/>
      </c>
    </row>
    <row r="775">
      <c r="A775" t="n">
        <v>574</v>
      </c>
      <c r="B775" t="inlineStr">
        <is>
          <t>Research &amp; Development</t>
        </is>
      </c>
      <c r="C775" t="inlineStr">
        <is>
          <t>Manufacturing Director</t>
        </is>
      </c>
      <c r="D775" t="inlineStr">
        <is>
          <t>No</t>
        </is>
      </c>
      <c r="E775" s="8" t="n">
        <v>5070</v>
      </c>
      <c r="F775" s="8">
        <f>E775*Assumptions!$B$7</f>
        <v/>
      </c>
      <c r="G775" s="9" t="n">
        <v>0.0261</v>
      </c>
      <c r="H775" t="inlineStr">
        <is>
          <t>Low</t>
        </is>
      </c>
      <c r="I775">
        <f>IF(G775&gt;=Assumptions!$B$4,"Yes","No")</f>
        <v/>
      </c>
      <c r="J775" s="8">
        <f>F775*Assumptions!$B$6</f>
        <v/>
      </c>
      <c r="K775" s="10">
        <f>G775*J775</f>
        <v/>
      </c>
      <c r="L775" s="10">
        <f>IF(I775="Yes",G775*Assumptions!$B$5*J775,0)</f>
        <v/>
      </c>
    </row>
    <row r="776">
      <c r="A776" t="n">
        <v>2041</v>
      </c>
      <c r="B776" t="inlineStr">
        <is>
          <t>Sales</t>
        </is>
      </c>
      <c r="C776" t="inlineStr">
        <is>
          <t>Sales Executive</t>
        </is>
      </c>
      <c r="D776" t="inlineStr">
        <is>
          <t>No</t>
        </is>
      </c>
      <c r="E776" s="8" t="n">
        <v>5343</v>
      </c>
      <c r="F776" s="8">
        <f>E776*Assumptions!$B$7</f>
        <v/>
      </c>
      <c r="G776" s="9" t="n">
        <v>0.0261</v>
      </c>
      <c r="H776" t="inlineStr">
        <is>
          <t>Low</t>
        </is>
      </c>
      <c r="I776">
        <f>IF(G776&gt;=Assumptions!$B$4,"Yes","No")</f>
        <v/>
      </c>
      <c r="J776" s="8">
        <f>F776*Assumptions!$B$6</f>
        <v/>
      </c>
      <c r="K776" s="10">
        <f>G776*J776</f>
        <v/>
      </c>
      <c r="L776" s="10">
        <f>IF(I776="Yes",G776*Assumptions!$B$5*J776,0)</f>
        <v/>
      </c>
    </row>
    <row r="777">
      <c r="A777" t="n">
        <v>1025</v>
      </c>
      <c r="B777" t="inlineStr">
        <is>
          <t>Research &amp; Development</t>
        </is>
      </c>
      <c r="C777" t="inlineStr">
        <is>
          <t>Manufacturing Director</t>
        </is>
      </c>
      <c r="D777" t="inlineStr">
        <is>
          <t>No</t>
        </is>
      </c>
      <c r="E777" s="8" t="n">
        <v>5003</v>
      </c>
      <c r="F777" s="8">
        <f>E777*Assumptions!$B$7</f>
        <v/>
      </c>
      <c r="G777" s="9" t="n">
        <v>0.0258</v>
      </c>
      <c r="H777" t="inlineStr">
        <is>
          <t>Low</t>
        </is>
      </c>
      <c r="I777">
        <f>IF(G777&gt;=Assumptions!$B$4,"Yes","No")</f>
        <v/>
      </c>
      <c r="J777" s="8">
        <f>F777*Assumptions!$B$6</f>
        <v/>
      </c>
      <c r="K777" s="10">
        <f>G777*J777</f>
        <v/>
      </c>
      <c r="L777" s="10">
        <f>IF(I777="Yes",G777*Assumptions!$B$5*J777,0)</f>
        <v/>
      </c>
    </row>
    <row r="778">
      <c r="A778" t="n">
        <v>1892</v>
      </c>
      <c r="B778" t="inlineStr">
        <is>
          <t>Research &amp; Development</t>
        </is>
      </c>
      <c r="C778" t="inlineStr">
        <is>
          <t>Manager</t>
        </is>
      </c>
      <c r="D778" t="inlineStr">
        <is>
          <t>No</t>
        </is>
      </c>
      <c r="E778" s="8" t="n">
        <v>16823</v>
      </c>
      <c r="F778" s="8">
        <f>E778*Assumptions!$B$7</f>
        <v/>
      </c>
      <c r="G778" s="9" t="n">
        <v>0.0258</v>
      </c>
      <c r="H778" t="inlineStr">
        <is>
          <t>Low</t>
        </is>
      </c>
      <c r="I778">
        <f>IF(G778&gt;=Assumptions!$B$4,"Yes","No")</f>
        <v/>
      </c>
      <c r="J778" s="8">
        <f>F778*Assumptions!$B$6</f>
        <v/>
      </c>
      <c r="K778" s="10">
        <f>G778*J778</f>
        <v/>
      </c>
      <c r="L778" s="10">
        <f>IF(I778="Yes",G778*Assumptions!$B$5*J778,0)</f>
        <v/>
      </c>
    </row>
    <row r="779">
      <c r="A779" t="n">
        <v>1829</v>
      </c>
      <c r="B779" t="inlineStr">
        <is>
          <t>Research &amp; Development</t>
        </is>
      </c>
      <c r="C779" t="inlineStr">
        <is>
          <t>Healthcare Representative</t>
        </is>
      </c>
      <c r="D779" t="inlineStr">
        <is>
          <t>No</t>
        </is>
      </c>
      <c r="E779" s="8" t="n">
        <v>4448</v>
      </c>
      <c r="F779" s="8">
        <f>E779*Assumptions!$B$7</f>
        <v/>
      </c>
      <c r="G779" s="9" t="n">
        <v>0.0257</v>
      </c>
      <c r="H779" t="inlineStr">
        <is>
          <t>Low</t>
        </is>
      </c>
      <c r="I779">
        <f>IF(G779&gt;=Assumptions!$B$4,"Yes","No")</f>
        <v/>
      </c>
      <c r="J779" s="8">
        <f>F779*Assumptions!$B$6</f>
        <v/>
      </c>
      <c r="K779" s="10">
        <f>G779*J779</f>
        <v/>
      </c>
      <c r="L779" s="10">
        <f>IF(I779="Yes",G779*Assumptions!$B$5*J779,0)</f>
        <v/>
      </c>
    </row>
    <row r="780">
      <c r="A780" t="n">
        <v>500</v>
      </c>
      <c r="B780" t="inlineStr">
        <is>
          <t>Sales</t>
        </is>
      </c>
      <c r="C780" t="inlineStr">
        <is>
          <t>Sales Executive</t>
        </is>
      </c>
      <c r="D780" t="inlineStr">
        <is>
          <t>No</t>
        </is>
      </c>
      <c r="E780" s="8" t="n">
        <v>4936</v>
      </c>
      <c r="F780" s="8">
        <f>E780*Assumptions!$B$7</f>
        <v/>
      </c>
      <c r="G780" s="9" t="n">
        <v>0.0257</v>
      </c>
      <c r="H780" t="inlineStr">
        <is>
          <t>Low</t>
        </is>
      </c>
      <c r="I780">
        <f>IF(G780&gt;=Assumptions!$B$4,"Yes","No")</f>
        <v/>
      </c>
      <c r="J780" s="8">
        <f>F780*Assumptions!$B$6</f>
        <v/>
      </c>
      <c r="K780" s="10">
        <f>G780*J780</f>
        <v/>
      </c>
      <c r="L780" s="10">
        <f>IF(I780="Yes",G780*Assumptions!$B$5*J780,0)</f>
        <v/>
      </c>
    </row>
    <row r="781">
      <c r="A781" t="n">
        <v>523</v>
      </c>
      <c r="B781" t="inlineStr">
        <is>
          <t>Sales</t>
        </is>
      </c>
      <c r="C781" t="inlineStr">
        <is>
          <t>Sales Executive</t>
        </is>
      </c>
      <c r="D781" t="inlineStr">
        <is>
          <t>No</t>
        </is>
      </c>
      <c r="E781" s="8" t="n">
        <v>6538</v>
      </c>
      <c r="F781" s="8">
        <f>E781*Assumptions!$B$7</f>
        <v/>
      </c>
      <c r="G781" s="9" t="n">
        <v>0.0256</v>
      </c>
      <c r="H781" t="inlineStr">
        <is>
          <t>Low</t>
        </is>
      </c>
      <c r="I781">
        <f>IF(G781&gt;=Assumptions!$B$4,"Yes","No")</f>
        <v/>
      </c>
      <c r="J781" s="8">
        <f>F781*Assumptions!$B$6</f>
        <v/>
      </c>
      <c r="K781" s="10">
        <f>G781*J781</f>
        <v/>
      </c>
      <c r="L781" s="10">
        <f>IF(I781="Yes",G781*Assumptions!$B$5*J781,0)</f>
        <v/>
      </c>
    </row>
    <row r="782">
      <c r="A782" t="n">
        <v>339</v>
      </c>
      <c r="B782" t="inlineStr">
        <is>
          <t>Research &amp; Development</t>
        </is>
      </c>
      <c r="C782" t="inlineStr">
        <is>
          <t>Manufacturing Director</t>
        </is>
      </c>
      <c r="D782" t="inlineStr">
        <is>
          <t>No</t>
        </is>
      </c>
      <c r="E782" s="8" t="n">
        <v>5957</v>
      </c>
      <c r="F782" s="8">
        <f>E782*Assumptions!$B$7</f>
        <v/>
      </c>
      <c r="G782" s="9" t="n">
        <v>0.0255</v>
      </c>
      <c r="H782" t="inlineStr">
        <is>
          <t>Low</t>
        </is>
      </c>
      <c r="I782">
        <f>IF(G782&gt;=Assumptions!$B$4,"Yes","No")</f>
        <v/>
      </c>
      <c r="J782" s="8">
        <f>F782*Assumptions!$B$6</f>
        <v/>
      </c>
      <c r="K782" s="10">
        <f>G782*J782</f>
        <v/>
      </c>
      <c r="L782" s="10">
        <f>IF(I782="Yes",G782*Assumptions!$B$5*J782,0)</f>
        <v/>
      </c>
    </row>
    <row r="783">
      <c r="A783" t="n">
        <v>2035</v>
      </c>
      <c r="B783" t="inlineStr">
        <is>
          <t>Sales</t>
        </is>
      </c>
      <c r="C783" t="inlineStr">
        <is>
          <t>Sales Executive</t>
        </is>
      </c>
      <c r="D783" t="inlineStr">
        <is>
          <t>No</t>
        </is>
      </c>
      <c r="E783" s="8" t="n">
        <v>6712</v>
      </c>
      <c r="F783" s="8">
        <f>E783*Assumptions!$B$7</f>
        <v/>
      </c>
      <c r="G783" s="9" t="n">
        <v>0.0255</v>
      </c>
      <c r="H783" t="inlineStr">
        <is>
          <t>Low</t>
        </is>
      </c>
      <c r="I783">
        <f>IF(G783&gt;=Assumptions!$B$4,"Yes","No")</f>
        <v/>
      </c>
      <c r="J783" s="8">
        <f>F783*Assumptions!$B$6</f>
        <v/>
      </c>
      <c r="K783" s="10">
        <f>G783*J783</f>
        <v/>
      </c>
      <c r="L783" s="10">
        <f>IF(I783="Yes",G783*Assumptions!$B$5*J783,0)</f>
        <v/>
      </c>
    </row>
    <row r="784">
      <c r="A784" t="n">
        <v>626</v>
      </c>
      <c r="B784" t="inlineStr">
        <is>
          <t>Sales</t>
        </is>
      </c>
      <c r="C784" t="inlineStr">
        <is>
          <t>Sales Executive</t>
        </is>
      </c>
      <c r="D784" t="inlineStr">
        <is>
          <t>No</t>
        </is>
      </c>
      <c r="E784" s="8" t="n">
        <v>8834</v>
      </c>
      <c r="F784" s="8">
        <f>E784*Assumptions!$B$7</f>
        <v/>
      </c>
      <c r="G784" s="9" t="n">
        <v>0.0254</v>
      </c>
      <c r="H784" t="inlineStr">
        <is>
          <t>Low</t>
        </is>
      </c>
      <c r="I784">
        <f>IF(G784&gt;=Assumptions!$B$4,"Yes","No")</f>
        <v/>
      </c>
      <c r="J784" s="8">
        <f>F784*Assumptions!$B$6</f>
        <v/>
      </c>
      <c r="K784" s="10">
        <f>G784*J784</f>
        <v/>
      </c>
      <c r="L784" s="10">
        <f>IF(I784="Yes",G784*Assumptions!$B$5*J784,0)</f>
        <v/>
      </c>
    </row>
    <row r="785">
      <c r="A785" t="n">
        <v>1407</v>
      </c>
      <c r="B785" t="inlineStr">
        <is>
          <t>Research &amp; Development</t>
        </is>
      </c>
      <c r="C785" t="inlineStr">
        <is>
          <t>Research Scientist</t>
        </is>
      </c>
      <c r="D785" t="inlineStr">
        <is>
          <t>No</t>
        </is>
      </c>
      <c r="E785" s="8" t="n">
        <v>3904</v>
      </c>
      <c r="F785" s="8">
        <f>E785*Assumptions!$B$7</f>
        <v/>
      </c>
      <c r="G785" s="9" t="n">
        <v>0.0252</v>
      </c>
      <c r="H785" t="inlineStr">
        <is>
          <t>Low</t>
        </is>
      </c>
      <c r="I785">
        <f>IF(G785&gt;=Assumptions!$B$4,"Yes","No")</f>
        <v/>
      </c>
      <c r="J785" s="8">
        <f>F785*Assumptions!$B$6</f>
        <v/>
      </c>
      <c r="K785" s="10">
        <f>G785*J785</f>
        <v/>
      </c>
      <c r="L785" s="10">
        <f>IF(I785="Yes",G785*Assumptions!$B$5*J785,0)</f>
        <v/>
      </c>
    </row>
    <row r="786">
      <c r="A786" t="n">
        <v>1509</v>
      </c>
      <c r="B786" t="inlineStr">
        <is>
          <t>Research &amp; Development</t>
        </is>
      </c>
      <c r="C786" t="inlineStr">
        <is>
          <t>Laboratory Technician</t>
        </is>
      </c>
      <c r="D786" t="inlineStr">
        <is>
          <t>No</t>
        </is>
      </c>
      <c r="E786" s="8" t="n">
        <v>4789</v>
      </c>
      <c r="F786" s="8">
        <f>E786*Assumptions!$B$7</f>
        <v/>
      </c>
      <c r="G786" s="9" t="n">
        <v>0.0251</v>
      </c>
      <c r="H786" t="inlineStr">
        <is>
          <t>Low</t>
        </is>
      </c>
      <c r="I786">
        <f>IF(G786&gt;=Assumptions!$B$4,"Yes","No")</f>
        <v/>
      </c>
      <c r="J786" s="8">
        <f>F786*Assumptions!$B$6</f>
        <v/>
      </c>
      <c r="K786" s="10">
        <f>G786*J786</f>
        <v/>
      </c>
      <c r="L786" s="10">
        <f>IF(I786="Yes",G786*Assumptions!$B$5*J786,0)</f>
        <v/>
      </c>
    </row>
    <row r="787">
      <c r="A787" t="n">
        <v>548</v>
      </c>
      <c r="B787" t="inlineStr">
        <is>
          <t>Research &amp; Development</t>
        </is>
      </c>
      <c r="C787" t="inlineStr">
        <is>
          <t>Manufacturing Director</t>
        </is>
      </c>
      <c r="D787" t="inlineStr">
        <is>
          <t>No</t>
        </is>
      </c>
      <c r="E787" s="8" t="n">
        <v>6091</v>
      </c>
      <c r="F787" s="8">
        <f>E787*Assumptions!$B$7</f>
        <v/>
      </c>
      <c r="G787" s="9" t="n">
        <v>0.025</v>
      </c>
      <c r="H787" t="inlineStr">
        <is>
          <t>Low</t>
        </is>
      </c>
      <c r="I787">
        <f>IF(G787&gt;=Assumptions!$B$4,"Yes","No")</f>
        <v/>
      </c>
      <c r="J787" s="8">
        <f>F787*Assumptions!$B$6</f>
        <v/>
      </c>
      <c r="K787" s="10">
        <f>G787*J787</f>
        <v/>
      </c>
      <c r="L787" s="10">
        <f>IF(I787="Yes",G787*Assumptions!$B$5*J787,0)</f>
        <v/>
      </c>
    </row>
    <row r="788">
      <c r="A788" t="n">
        <v>214</v>
      </c>
      <c r="B788" t="inlineStr">
        <is>
          <t>Research &amp; Development</t>
        </is>
      </c>
      <c r="C788" t="inlineStr">
        <is>
          <t>Research Scientist</t>
        </is>
      </c>
      <c r="D788" t="inlineStr">
        <is>
          <t>Yes</t>
        </is>
      </c>
      <c r="E788" s="8" t="n">
        <v>3346</v>
      </c>
      <c r="F788" s="8">
        <f>E788*Assumptions!$B$7</f>
        <v/>
      </c>
      <c r="G788" s="9" t="n">
        <v>0.025</v>
      </c>
      <c r="H788" t="inlineStr">
        <is>
          <t>Low</t>
        </is>
      </c>
      <c r="I788">
        <f>IF(G788&gt;=Assumptions!$B$4,"Yes","No")</f>
        <v/>
      </c>
      <c r="J788" s="8">
        <f>F788*Assumptions!$B$6</f>
        <v/>
      </c>
      <c r="K788" s="10">
        <f>G788*J788</f>
        <v/>
      </c>
      <c r="L788" s="10">
        <f>IF(I788="Yes",G788*Assumptions!$B$5*J788,0)</f>
        <v/>
      </c>
    </row>
    <row r="789">
      <c r="A789" t="n">
        <v>228</v>
      </c>
      <c r="B789" t="inlineStr">
        <is>
          <t>Sales</t>
        </is>
      </c>
      <c r="C789" t="inlineStr">
        <is>
          <t>Sales Executive</t>
        </is>
      </c>
      <c r="D789" t="inlineStr">
        <is>
          <t>No</t>
        </is>
      </c>
      <c r="E789" s="8" t="n">
        <v>9419</v>
      </c>
      <c r="F789" s="8">
        <f>E789*Assumptions!$B$7</f>
        <v/>
      </c>
      <c r="G789" s="9" t="n">
        <v>0.025</v>
      </c>
      <c r="H789" t="inlineStr">
        <is>
          <t>Low</t>
        </is>
      </c>
      <c r="I789">
        <f>IF(G789&gt;=Assumptions!$B$4,"Yes","No")</f>
        <v/>
      </c>
      <c r="J789" s="8">
        <f>F789*Assumptions!$B$6</f>
        <v/>
      </c>
      <c r="K789" s="10">
        <f>G789*J789</f>
        <v/>
      </c>
      <c r="L789" s="10">
        <f>IF(I789="Yes",G789*Assumptions!$B$5*J789,0)</f>
        <v/>
      </c>
    </row>
    <row r="790">
      <c r="A790" t="n">
        <v>1677</v>
      </c>
      <c r="B790" t="inlineStr">
        <is>
          <t>Research &amp; Development</t>
        </is>
      </c>
      <c r="C790" t="inlineStr">
        <is>
          <t>Manager</t>
        </is>
      </c>
      <c r="D790" t="inlineStr">
        <is>
          <t>No</t>
        </is>
      </c>
      <c r="E790" s="8" t="n">
        <v>15379</v>
      </c>
      <c r="F790" s="8">
        <f>E790*Assumptions!$B$7</f>
        <v/>
      </c>
      <c r="G790" s="9" t="n">
        <v>0.025</v>
      </c>
      <c r="H790" t="inlineStr">
        <is>
          <t>Low</t>
        </is>
      </c>
      <c r="I790">
        <f>IF(G790&gt;=Assumptions!$B$4,"Yes","No")</f>
        <v/>
      </c>
      <c r="J790" s="8">
        <f>F790*Assumptions!$B$6</f>
        <v/>
      </c>
      <c r="K790" s="10">
        <f>G790*J790</f>
        <v/>
      </c>
      <c r="L790" s="10">
        <f>IF(I790="Yes",G790*Assumptions!$B$5*J790,0)</f>
        <v/>
      </c>
    </row>
    <row r="791">
      <c r="A791" t="n">
        <v>742</v>
      </c>
      <c r="B791" t="inlineStr">
        <is>
          <t>Research &amp; Development</t>
        </is>
      </c>
      <c r="C791" t="inlineStr">
        <is>
          <t>Research Director</t>
        </is>
      </c>
      <c r="D791" t="inlineStr">
        <is>
          <t>No</t>
        </is>
      </c>
      <c r="E791" s="8" t="n">
        <v>11713</v>
      </c>
      <c r="F791" s="8">
        <f>E791*Assumptions!$B$7</f>
        <v/>
      </c>
      <c r="G791" s="9" t="n">
        <v>0.0249</v>
      </c>
      <c r="H791" t="inlineStr">
        <is>
          <t>Low</t>
        </is>
      </c>
      <c r="I791">
        <f>IF(G791&gt;=Assumptions!$B$4,"Yes","No")</f>
        <v/>
      </c>
      <c r="J791" s="8">
        <f>F791*Assumptions!$B$6</f>
        <v/>
      </c>
      <c r="K791" s="10">
        <f>G791*J791</f>
        <v/>
      </c>
      <c r="L791" s="10">
        <f>IF(I791="Yes",G791*Assumptions!$B$5*J791,0)</f>
        <v/>
      </c>
    </row>
    <row r="792">
      <c r="A792" t="n">
        <v>1009</v>
      </c>
      <c r="B792" t="inlineStr">
        <is>
          <t>Research &amp; Development</t>
        </is>
      </c>
      <c r="C792" t="inlineStr">
        <is>
          <t>Manufacturing Director</t>
        </is>
      </c>
      <c r="D792" t="inlineStr">
        <is>
          <t>No</t>
        </is>
      </c>
      <c r="E792" s="8" t="n">
        <v>4377</v>
      </c>
      <c r="F792" s="8">
        <f>E792*Assumptions!$B$7</f>
        <v/>
      </c>
      <c r="G792" s="9" t="n">
        <v>0.0248</v>
      </c>
      <c r="H792" t="inlineStr">
        <is>
          <t>Low</t>
        </is>
      </c>
      <c r="I792">
        <f>IF(G792&gt;=Assumptions!$B$4,"Yes","No")</f>
        <v/>
      </c>
      <c r="J792" s="8">
        <f>F792*Assumptions!$B$6</f>
        <v/>
      </c>
      <c r="K792" s="10">
        <f>G792*J792</f>
        <v/>
      </c>
      <c r="L792" s="10">
        <f>IF(I792="Yes",G792*Assumptions!$B$5*J792,0)</f>
        <v/>
      </c>
    </row>
    <row r="793">
      <c r="A793" t="n">
        <v>1693</v>
      </c>
      <c r="B793" t="inlineStr">
        <is>
          <t>Research &amp; Development</t>
        </is>
      </c>
      <c r="C793" t="inlineStr">
        <is>
          <t>Laboratory Technician</t>
        </is>
      </c>
      <c r="D793" t="inlineStr">
        <is>
          <t>No</t>
        </is>
      </c>
      <c r="E793" s="8" t="n">
        <v>2570</v>
      </c>
      <c r="F793" s="8">
        <f>E793*Assumptions!$B$7</f>
        <v/>
      </c>
      <c r="G793" s="9" t="n">
        <v>0.0247</v>
      </c>
      <c r="H793" t="inlineStr">
        <is>
          <t>Low</t>
        </is>
      </c>
      <c r="I793">
        <f>IF(G793&gt;=Assumptions!$B$4,"Yes","No")</f>
        <v/>
      </c>
      <c r="J793" s="8">
        <f>F793*Assumptions!$B$6</f>
        <v/>
      </c>
      <c r="K793" s="10">
        <f>G793*J793</f>
        <v/>
      </c>
      <c r="L793" s="10">
        <f>IF(I793="Yes",G793*Assumptions!$B$5*J793,0)</f>
        <v/>
      </c>
    </row>
    <row r="794">
      <c r="A794" t="n">
        <v>449</v>
      </c>
      <c r="B794" t="inlineStr">
        <is>
          <t>Sales</t>
        </is>
      </c>
      <c r="C794" t="inlineStr">
        <is>
          <t>Sales Executive</t>
        </is>
      </c>
      <c r="D794" t="inlineStr">
        <is>
          <t>Yes</t>
        </is>
      </c>
      <c r="E794" s="8" t="n">
        <v>6349</v>
      </c>
      <c r="F794" s="8">
        <f>E794*Assumptions!$B$7</f>
        <v/>
      </c>
      <c r="G794" s="9" t="n">
        <v>0.0247</v>
      </c>
      <c r="H794" t="inlineStr">
        <is>
          <t>Low</t>
        </is>
      </c>
      <c r="I794">
        <f>IF(G794&gt;=Assumptions!$B$4,"Yes","No")</f>
        <v/>
      </c>
      <c r="J794" s="8">
        <f>F794*Assumptions!$B$6</f>
        <v/>
      </c>
      <c r="K794" s="10">
        <f>G794*J794</f>
        <v/>
      </c>
      <c r="L794" s="10">
        <f>IF(I794="Yes",G794*Assumptions!$B$5*J794,0)</f>
        <v/>
      </c>
    </row>
    <row r="795">
      <c r="A795" t="n">
        <v>76</v>
      </c>
      <c r="B795" t="inlineStr">
        <is>
          <t>Research &amp; Development</t>
        </is>
      </c>
      <c r="C795" t="inlineStr">
        <is>
          <t>Laboratory Technician</t>
        </is>
      </c>
      <c r="D795" t="inlineStr">
        <is>
          <t>No</t>
        </is>
      </c>
      <c r="E795" s="8" t="n">
        <v>5915</v>
      </c>
      <c r="F795" s="8">
        <f>E795*Assumptions!$B$7</f>
        <v/>
      </c>
      <c r="G795" s="9" t="n">
        <v>0.0246</v>
      </c>
      <c r="H795" t="inlineStr">
        <is>
          <t>Low</t>
        </is>
      </c>
      <c r="I795">
        <f>IF(G795&gt;=Assumptions!$B$4,"Yes","No")</f>
        <v/>
      </c>
      <c r="J795" s="8">
        <f>F795*Assumptions!$B$6</f>
        <v/>
      </c>
      <c r="K795" s="10">
        <f>G795*J795</f>
        <v/>
      </c>
      <c r="L795" s="10">
        <f>IF(I795="Yes",G795*Assumptions!$B$5*J795,0)</f>
        <v/>
      </c>
    </row>
    <row r="796">
      <c r="A796" t="n">
        <v>2008</v>
      </c>
      <c r="B796" t="inlineStr">
        <is>
          <t>Research &amp; Development</t>
        </is>
      </c>
      <c r="C796" t="inlineStr">
        <is>
          <t>Research Scientist</t>
        </is>
      </c>
      <c r="D796" t="inlineStr">
        <is>
          <t>No</t>
        </is>
      </c>
      <c r="E796" s="8" t="n">
        <v>5098</v>
      </c>
      <c r="F796" s="8">
        <f>E796*Assumptions!$B$7</f>
        <v/>
      </c>
      <c r="G796" s="9" t="n">
        <v>0.0246</v>
      </c>
      <c r="H796" t="inlineStr">
        <is>
          <t>Low</t>
        </is>
      </c>
      <c r="I796">
        <f>IF(G796&gt;=Assumptions!$B$4,"Yes","No")</f>
        <v/>
      </c>
      <c r="J796" s="8">
        <f>F796*Assumptions!$B$6</f>
        <v/>
      </c>
      <c r="K796" s="10">
        <f>G796*J796</f>
        <v/>
      </c>
      <c r="L796" s="10">
        <f>IF(I796="Yes",G796*Assumptions!$B$5*J796,0)</f>
        <v/>
      </c>
    </row>
    <row r="797">
      <c r="A797" t="n">
        <v>534</v>
      </c>
      <c r="B797" t="inlineStr">
        <is>
          <t>Sales</t>
        </is>
      </c>
      <c r="C797" t="inlineStr">
        <is>
          <t>Sales Executive</t>
        </is>
      </c>
      <c r="D797" t="inlineStr">
        <is>
          <t>No</t>
        </is>
      </c>
      <c r="E797" s="8" t="n">
        <v>8392</v>
      </c>
      <c r="F797" s="8">
        <f>E797*Assumptions!$B$7</f>
        <v/>
      </c>
      <c r="G797" s="9" t="n">
        <v>0.0246</v>
      </c>
      <c r="H797" t="inlineStr">
        <is>
          <t>Low</t>
        </is>
      </c>
      <c r="I797">
        <f>IF(G797&gt;=Assumptions!$B$4,"Yes","No")</f>
        <v/>
      </c>
      <c r="J797" s="8">
        <f>F797*Assumptions!$B$6</f>
        <v/>
      </c>
      <c r="K797" s="10">
        <f>G797*J797</f>
        <v/>
      </c>
      <c r="L797" s="10">
        <f>IF(I797="Yes",G797*Assumptions!$B$5*J797,0)</f>
        <v/>
      </c>
    </row>
    <row r="798">
      <c r="A798" t="n">
        <v>1103</v>
      </c>
      <c r="B798" t="inlineStr">
        <is>
          <t>Research &amp; Development</t>
        </is>
      </c>
      <c r="C798" t="inlineStr">
        <is>
          <t>Healthcare Representative</t>
        </is>
      </c>
      <c r="D798" t="inlineStr">
        <is>
          <t>No</t>
        </is>
      </c>
      <c r="E798" s="8" t="n">
        <v>7756</v>
      </c>
      <c r="F798" s="8">
        <f>E798*Assumptions!$B$7</f>
        <v/>
      </c>
      <c r="G798" s="9" t="n">
        <v>0.0245</v>
      </c>
      <c r="H798" t="inlineStr">
        <is>
          <t>Low</t>
        </is>
      </c>
      <c r="I798">
        <f>IF(G798&gt;=Assumptions!$B$4,"Yes","No")</f>
        <v/>
      </c>
      <c r="J798" s="8">
        <f>F798*Assumptions!$B$6</f>
        <v/>
      </c>
      <c r="K798" s="10">
        <f>G798*J798</f>
        <v/>
      </c>
      <c r="L798" s="10">
        <f>IF(I798="Yes",G798*Assumptions!$B$5*J798,0)</f>
        <v/>
      </c>
    </row>
    <row r="799">
      <c r="A799" t="n">
        <v>1948</v>
      </c>
      <c r="B799" t="inlineStr">
        <is>
          <t>Research &amp; Development</t>
        </is>
      </c>
      <c r="C799" t="inlineStr">
        <is>
          <t>Research Scientist</t>
        </is>
      </c>
      <c r="D799" t="inlineStr">
        <is>
          <t>Yes</t>
        </is>
      </c>
      <c r="E799" s="8" t="n">
        <v>3065</v>
      </c>
      <c r="F799" s="8">
        <f>E799*Assumptions!$B$7</f>
        <v/>
      </c>
      <c r="G799" s="9" t="n">
        <v>0.0245</v>
      </c>
      <c r="H799" t="inlineStr">
        <is>
          <t>Low</t>
        </is>
      </c>
      <c r="I799">
        <f>IF(G799&gt;=Assumptions!$B$4,"Yes","No")</f>
        <v/>
      </c>
      <c r="J799" s="8">
        <f>F799*Assumptions!$B$6</f>
        <v/>
      </c>
      <c r="K799" s="10">
        <f>G799*J799</f>
        <v/>
      </c>
      <c r="L799" s="10">
        <f>IF(I799="Yes",G799*Assumptions!$B$5*J799,0)</f>
        <v/>
      </c>
    </row>
    <row r="800">
      <c r="A800" t="n">
        <v>438</v>
      </c>
      <c r="B800" t="inlineStr">
        <is>
          <t>Sales</t>
        </is>
      </c>
      <c r="C800" t="inlineStr">
        <is>
          <t>Sales Executive</t>
        </is>
      </c>
      <c r="D800" t="inlineStr">
        <is>
          <t>No</t>
        </is>
      </c>
      <c r="E800" s="8" t="n">
        <v>7547</v>
      </c>
      <c r="F800" s="8">
        <f>E800*Assumptions!$B$7</f>
        <v/>
      </c>
      <c r="G800" s="9" t="n">
        <v>0.0244</v>
      </c>
      <c r="H800" t="inlineStr">
        <is>
          <t>Low</t>
        </is>
      </c>
      <c r="I800">
        <f>IF(G800&gt;=Assumptions!$B$4,"Yes","No")</f>
        <v/>
      </c>
      <c r="J800" s="8">
        <f>F800*Assumptions!$B$6</f>
        <v/>
      </c>
      <c r="K800" s="10">
        <f>G800*J800</f>
        <v/>
      </c>
      <c r="L800" s="10">
        <f>IF(I800="Yes",G800*Assumptions!$B$5*J800,0)</f>
        <v/>
      </c>
    </row>
    <row r="801">
      <c r="A801" t="n">
        <v>226</v>
      </c>
      <c r="B801" t="inlineStr">
        <is>
          <t>Research &amp; Development</t>
        </is>
      </c>
      <c r="C801" t="inlineStr">
        <is>
          <t>Manager</t>
        </is>
      </c>
      <c r="D801" t="inlineStr">
        <is>
          <t>No</t>
        </is>
      </c>
      <c r="E801" s="8" t="n">
        <v>19926</v>
      </c>
      <c r="F801" s="8">
        <f>E801*Assumptions!$B$7</f>
        <v/>
      </c>
      <c r="G801" s="9" t="n">
        <v>0.0244</v>
      </c>
      <c r="H801" t="inlineStr">
        <is>
          <t>Low</t>
        </is>
      </c>
      <c r="I801">
        <f>IF(G801&gt;=Assumptions!$B$4,"Yes","No")</f>
        <v/>
      </c>
      <c r="J801" s="8">
        <f>F801*Assumptions!$B$6</f>
        <v/>
      </c>
      <c r="K801" s="10">
        <f>G801*J801</f>
        <v/>
      </c>
      <c r="L801" s="10">
        <f>IF(I801="Yes",G801*Assumptions!$B$5*J801,0)</f>
        <v/>
      </c>
    </row>
    <row r="802">
      <c r="A802" t="n">
        <v>1835</v>
      </c>
      <c r="B802" t="inlineStr">
        <is>
          <t>Sales</t>
        </is>
      </c>
      <c r="C802" t="inlineStr">
        <is>
          <t>Sales Representative</t>
        </is>
      </c>
      <c r="D802" t="inlineStr">
        <is>
          <t>Yes</t>
        </is>
      </c>
      <c r="E802" s="8" t="n">
        <v>5405</v>
      </c>
      <c r="F802" s="8">
        <f>E802*Assumptions!$B$7</f>
        <v/>
      </c>
      <c r="G802" s="9" t="n">
        <v>0.0243</v>
      </c>
      <c r="H802" t="inlineStr">
        <is>
          <t>Low</t>
        </is>
      </c>
      <c r="I802">
        <f>IF(G802&gt;=Assumptions!$B$4,"Yes","No")</f>
        <v/>
      </c>
      <c r="J802" s="8">
        <f>F802*Assumptions!$B$6</f>
        <v/>
      </c>
      <c r="K802" s="10">
        <f>G802*J802</f>
        <v/>
      </c>
      <c r="L802" s="10">
        <f>IF(I802="Yes",G802*Assumptions!$B$5*J802,0)</f>
        <v/>
      </c>
    </row>
    <row r="803">
      <c r="A803" t="n">
        <v>805</v>
      </c>
      <c r="B803" t="inlineStr">
        <is>
          <t>Sales</t>
        </is>
      </c>
      <c r="C803" t="inlineStr">
        <is>
          <t>Sales Representative</t>
        </is>
      </c>
      <c r="D803" t="inlineStr">
        <is>
          <t>No</t>
        </is>
      </c>
      <c r="E803" s="8" t="n">
        <v>2572</v>
      </c>
      <c r="F803" s="8">
        <f>E803*Assumptions!$B$7</f>
        <v/>
      </c>
      <c r="G803" s="9" t="n">
        <v>0.0243</v>
      </c>
      <c r="H803" t="inlineStr">
        <is>
          <t>Low</t>
        </is>
      </c>
      <c r="I803">
        <f>IF(G803&gt;=Assumptions!$B$4,"Yes","No")</f>
        <v/>
      </c>
      <c r="J803" s="8">
        <f>F803*Assumptions!$B$6</f>
        <v/>
      </c>
      <c r="K803" s="10">
        <f>G803*J803</f>
        <v/>
      </c>
      <c r="L803" s="10">
        <f>IF(I803="Yes",G803*Assumptions!$B$5*J803,0)</f>
        <v/>
      </c>
    </row>
    <row r="804">
      <c r="A804" t="n">
        <v>182</v>
      </c>
      <c r="B804" t="inlineStr">
        <is>
          <t>Sales</t>
        </is>
      </c>
      <c r="C804" t="inlineStr">
        <is>
          <t>Sales Executive</t>
        </is>
      </c>
      <c r="D804" t="inlineStr">
        <is>
          <t>No</t>
        </is>
      </c>
      <c r="E804" s="8" t="n">
        <v>5902</v>
      </c>
      <c r="F804" s="8">
        <f>E804*Assumptions!$B$7</f>
        <v/>
      </c>
      <c r="G804" s="9" t="n">
        <v>0.0242</v>
      </c>
      <c r="H804" t="inlineStr">
        <is>
          <t>Low</t>
        </is>
      </c>
      <c r="I804">
        <f>IF(G804&gt;=Assumptions!$B$4,"Yes","No")</f>
        <v/>
      </c>
      <c r="J804" s="8">
        <f>F804*Assumptions!$B$6</f>
        <v/>
      </c>
      <c r="K804" s="10">
        <f>G804*J804</f>
        <v/>
      </c>
      <c r="L804" s="10">
        <f>IF(I804="Yes",G804*Assumptions!$B$5*J804,0)</f>
        <v/>
      </c>
    </row>
    <row r="805">
      <c r="A805" t="n">
        <v>419</v>
      </c>
      <c r="B805" t="inlineStr">
        <is>
          <t>Research &amp; Development</t>
        </is>
      </c>
      <c r="C805" t="inlineStr">
        <is>
          <t>Laboratory Technician</t>
        </is>
      </c>
      <c r="D805" t="inlineStr">
        <is>
          <t>No</t>
        </is>
      </c>
      <c r="E805" s="8" t="n">
        <v>5674</v>
      </c>
      <c r="F805" s="8">
        <f>E805*Assumptions!$B$7</f>
        <v/>
      </c>
      <c r="G805" s="9" t="n">
        <v>0.0241</v>
      </c>
      <c r="H805" t="inlineStr">
        <is>
          <t>Low</t>
        </is>
      </c>
      <c r="I805">
        <f>IF(G805&gt;=Assumptions!$B$4,"Yes","No")</f>
        <v/>
      </c>
      <c r="J805" s="8">
        <f>F805*Assumptions!$B$6</f>
        <v/>
      </c>
      <c r="K805" s="10">
        <f>G805*J805</f>
        <v/>
      </c>
      <c r="L805" s="10">
        <f>IF(I805="Yes",G805*Assumptions!$B$5*J805,0)</f>
        <v/>
      </c>
    </row>
    <row r="806">
      <c r="A806" t="n">
        <v>1601</v>
      </c>
      <c r="B806" t="inlineStr">
        <is>
          <t>Research &amp; Development</t>
        </is>
      </c>
      <c r="C806" t="inlineStr">
        <is>
          <t>Laboratory Technician</t>
        </is>
      </c>
      <c r="D806" t="inlineStr">
        <is>
          <t>No</t>
        </is>
      </c>
      <c r="E806" s="8" t="n">
        <v>2690</v>
      </c>
      <c r="F806" s="8">
        <f>E806*Assumptions!$B$7</f>
        <v/>
      </c>
      <c r="G806" s="9" t="n">
        <v>0.024</v>
      </c>
      <c r="H806" t="inlineStr">
        <is>
          <t>Low</t>
        </is>
      </c>
      <c r="I806">
        <f>IF(G806&gt;=Assumptions!$B$4,"Yes","No")</f>
        <v/>
      </c>
      <c r="J806" s="8">
        <f>F806*Assumptions!$B$6</f>
        <v/>
      </c>
      <c r="K806" s="10">
        <f>G806*J806</f>
        <v/>
      </c>
      <c r="L806" s="10">
        <f>IF(I806="Yes",G806*Assumptions!$B$5*J806,0)</f>
        <v/>
      </c>
    </row>
    <row r="807">
      <c r="A807" t="n">
        <v>239</v>
      </c>
      <c r="B807" t="inlineStr">
        <is>
          <t>Research &amp; Development</t>
        </is>
      </c>
      <c r="C807" t="inlineStr">
        <is>
          <t>Laboratory Technician</t>
        </is>
      </c>
      <c r="D807" t="inlineStr">
        <is>
          <t>No</t>
        </is>
      </c>
      <c r="E807" s="8" t="n">
        <v>3072</v>
      </c>
      <c r="F807" s="8">
        <f>E807*Assumptions!$B$7</f>
        <v/>
      </c>
      <c r="G807" s="9" t="n">
        <v>0.0239</v>
      </c>
      <c r="H807" t="inlineStr">
        <is>
          <t>Low</t>
        </is>
      </c>
      <c r="I807">
        <f>IF(G807&gt;=Assumptions!$B$4,"Yes","No")</f>
        <v/>
      </c>
      <c r="J807" s="8">
        <f>F807*Assumptions!$B$6</f>
        <v/>
      </c>
      <c r="K807" s="10">
        <f>G807*J807</f>
        <v/>
      </c>
      <c r="L807" s="10">
        <f>IF(I807="Yes",G807*Assumptions!$B$5*J807,0)</f>
        <v/>
      </c>
    </row>
    <row r="808">
      <c r="A808" t="n">
        <v>202</v>
      </c>
      <c r="B808" t="inlineStr">
        <is>
          <t>Research &amp; Development</t>
        </is>
      </c>
      <c r="C808" t="inlineStr">
        <is>
          <t>Research Scientist</t>
        </is>
      </c>
      <c r="D808" t="inlineStr">
        <is>
          <t>No</t>
        </is>
      </c>
      <c r="E808" s="8" t="n">
        <v>5605</v>
      </c>
      <c r="F808" s="8">
        <f>E808*Assumptions!$B$7</f>
        <v/>
      </c>
      <c r="G808" s="9" t="n">
        <v>0.0239</v>
      </c>
      <c r="H808" t="inlineStr">
        <is>
          <t>Low</t>
        </is>
      </c>
      <c r="I808">
        <f>IF(G808&gt;=Assumptions!$B$4,"Yes","No")</f>
        <v/>
      </c>
      <c r="J808" s="8">
        <f>F808*Assumptions!$B$6</f>
        <v/>
      </c>
      <c r="K808" s="10">
        <f>G808*J808</f>
        <v/>
      </c>
      <c r="L808" s="10">
        <f>IF(I808="Yes",G808*Assumptions!$B$5*J808,0)</f>
        <v/>
      </c>
    </row>
    <row r="809">
      <c r="A809" t="n">
        <v>386</v>
      </c>
      <c r="B809" t="inlineStr">
        <is>
          <t>Research &amp; Development</t>
        </is>
      </c>
      <c r="C809" t="inlineStr">
        <is>
          <t>Research Director</t>
        </is>
      </c>
      <c r="D809" t="inlineStr">
        <is>
          <t>Yes</t>
        </is>
      </c>
      <c r="E809" s="8" t="n">
        <v>17584</v>
      </c>
      <c r="F809" s="8">
        <f>E809*Assumptions!$B$7</f>
        <v/>
      </c>
      <c r="G809" s="9" t="n">
        <v>0.0238</v>
      </c>
      <c r="H809" t="inlineStr">
        <is>
          <t>Low</t>
        </is>
      </c>
      <c r="I809">
        <f>IF(G809&gt;=Assumptions!$B$4,"Yes","No")</f>
        <v/>
      </c>
      <c r="J809" s="8">
        <f>F809*Assumptions!$B$6</f>
        <v/>
      </c>
      <c r="K809" s="10">
        <f>G809*J809</f>
        <v/>
      </c>
      <c r="L809" s="10">
        <f>IF(I809="Yes",G809*Assumptions!$B$5*J809,0)</f>
        <v/>
      </c>
    </row>
    <row r="810">
      <c r="A810" t="n">
        <v>68</v>
      </c>
      <c r="B810" t="inlineStr">
        <is>
          <t>Sales</t>
        </is>
      </c>
      <c r="C810" t="inlineStr">
        <is>
          <t>Sales Executive</t>
        </is>
      </c>
      <c r="D810" t="inlineStr">
        <is>
          <t>Yes</t>
        </is>
      </c>
      <c r="E810" s="8" t="n">
        <v>5454</v>
      </c>
      <c r="F810" s="8">
        <f>E810*Assumptions!$B$7</f>
        <v/>
      </c>
      <c r="G810" s="9" t="n">
        <v>0.0238</v>
      </c>
      <c r="H810" t="inlineStr">
        <is>
          <t>Low</t>
        </is>
      </c>
      <c r="I810">
        <f>IF(G810&gt;=Assumptions!$B$4,"Yes","No")</f>
        <v/>
      </c>
      <c r="J810" s="8">
        <f>F810*Assumptions!$B$6</f>
        <v/>
      </c>
      <c r="K810" s="10">
        <f>G810*J810</f>
        <v/>
      </c>
      <c r="L810" s="10">
        <f>IF(I810="Yes",G810*Assumptions!$B$5*J810,0)</f>
        <v/>
      </c>
    </row>
    <row r="811">
      <c r="A811" t="n">
        <v>1979</v>
      </c>
      <c r="B811" t="inlineStr">
        <is>
          <t>Research &amp; Development</t>
        </is>
      </c>
      <c r="C811" t="inlineStr">
        <is>
          <t>Research Director</t>
        </is>
      </c>
      <c r="D811" t="inlineStr">
        <is>
          <t>No</t>
        </is>
      </c>
      <c r="E811" s="8" t="n">
        <v>11031</v>
      </c>
      <c r="F811" s="8">
        <f>E811*Assumptions!$B$7</f>
        <v/>
      </c>
      <c r="G811" s="9" t="n">
        <v>0.0236</v>
      </c>
      <c r="H811" t="inlineStr">
        <is>
          <t>Low</t>
        </is>
      </c>
      <c r="I811">
        <f>IF(G811&gt;=Assumptions!$B$4,"Yes","No")</f>
        <v/>
      </c>
      <c r="J811" s="8">
        <f>F811*Assumptions!$B$6</f>
        <v/>
      </c>
      <c r="K811" s="10">
        <f>G811*J811</f>
        <v/>
      </c>
      <c r="L811" s="10">
        <f>IF(I811="Yes",G811*Assumptions!$B$5*J811,0)</f>
        <v/>
      </c>
    </row>
    <row r="812">
      <c r="A812" t="n">
        <v>1638</v>
      </c>
      <c r="B812" t="inlineStr">
        <is>
          <t>Research &amp; Development</t>
        </is>
      </c>
      <c r="C812" t="inlineStr">
        <is>
          <t>Manufacturing Director</t>
        </is>
      </c>
      <c r="D812" t="inlineStr">
        <is>
          <t>Yes</t>
        </is>
      </c>
      <c r="E812" s="8" t="n">
        <v>7756</v>
      </c>
      <c r="F812" s="8">
        <f>E812*Assumptions!$B$7</f>
        <v/>
      </c>
      <c r="G812" s="9" t="n">
        <v>0.0236</v>
      </c>
      <c r="H812" t="inlineStr">
        <is>
          <t>Low</t>
        </is>
      </c>
      <c r="I812">
        <f>IF(G812&gt;=Assumptions!$B$4,"Yes","No")</f>
        <v/>
      </c>
      <c r="J812" s="8">
        <f>F812*Assumptions!$B$6</f>
        <v/>
      </c>
      <c r="K812" s="10">
        <f>G812*J812</f>
        <v/>
      </c>
      <c r="L812" s="10">
        <f>IF(I812="Yes",G812*Assumptions!$B$5*J812,0)</f>
        <v/>
      </c>
    </row>
    <row r="813">
      <c r="A813" t="n">
        <v>1606</v>
      </c>
      <c r="B813" t="inlineStr">
        <is>
          <t>Research &amp; Development</t>
        </is>
      </c>
      <c r="C813" t="inlineStr">
        <is>
          <t>Healthcare Representative</t>
        </is>
      </c>
      <c r="D813" t="inlineStr">
        <is>
          <t>Yes</t>
        </is>
      </c>
      <c r="E813" s="8" t="n">
        <v>11245</v>
      </c>
      <c r="F813" s="8">
        <f>E813*Assumptions!$B$7</f>
        <v/>
      </c>
      <c r="G813" s="9" t="n">
        <v>0.0236</v>
      </c>
      <c r="H813" t="inlineStr">
        <is>
          <t>Low</t>
        </is>
      </c>
      <c r="I813">
        <f>IF(G813&gt;=Assumptions!$B$4,"Yes","No")</f>
        <v/>
      </c>
      <c r="J813" s="8">
        <f>F813*Assumptions!$B$6</f>
        <v/>
      </c>
      <c r="K813" s="10">
        <f>G813*J813</f>
        <v/>
      </c>
      <c r="L813" s="10">
        <f>IF(I813="Yes",G813*Assumptions!$B$5*J813,0)</f>
        <v/>
      </c>
    </row>
    <row r="814">
      <c r="A814" t="n">
        <v>1972</v>
      </c>
      <c r="B814" t="inlineStr">
        <is>
          <t>Human Resources</t>
        </is>
      </c>
      <c r="C814" t="inlineStr">
        <is>
          <t>Human Resources</t>
        </is>
      </c>
      <c r="D814" t="inlineStr">
        <is>
          <t>Yes</t>
        </is>
      </c>
      <c r="E814" s="8" t="n">
        <v>2991</v>
      </c>
      <c r="F814" s="8">
        <f>E814*Assumptions!$B$7</f>
        <v/>
      </c>
      <c r="G814" s="9" t="n">
        <v>0.0235</v>
      </c>
      <c r="H814" t="inlineStr">
        <is>
          <t>Low</t>
        </is>
      </c>
      <c r="I814">
        <f>IF(G814&gt;=Assumptions!$B$4,"Yes","No")</f>
        <v/>
      </c>
      <c r="J814" s="8">
        <f>F814*Assumptions!$B$6</f>
        <v/>
      </c>
      <c r="K814" s="10">
        <f>G814*J814</f>
        <v/>
      </c>
      <c r="L814" s="10">
        <f>IF(I814="Yes",G814*Assumptions!$B$5*J814,0)</f>
        <v/>
      </c>
    </row>
    <row r="815">
      <c r="A815" t="n">
        <v>1015</v>
      </c>
      <c r="B815" t="inlineStr">
        <is>
          <t>Research &amp; Development</t>
        </is>
      </c>
      <c r="C815" t="inlineStr">
        <is>
          <t>Research Director</t>
        </is>
      </c>
      <c r="D815" t="inlineStr">
        <is>
          <t>Yes</t>
        </is>
      </c>
      <c r="E815" s="8" t="n">
        <v>11416</v>
      </c>
      <c r="F815" s="8">
        <f>E815*Assumptions!$B$7</f>
        <v/>
      </c>
      <c r="G815" s="9" t="n">
        <v>0.0234</v>
      </c>
      <c r="H815" t="inlineStr">
        <is>
          <t>Low</t>
        </is>
      </c>
      <c r="I815">
        <f>IF(G815&gt;=Assumptions!$B$4,"Yes","No")</f>
        <v/>
      </c>
      <c r="J815" s="8">
        <f>F815*Assumptions!$B$6</f>
        <v/>
      </c>
      <c r="K815" s="10">
        <f>G815*J815</f>
        <v/>
      </c>
      <c r="L815" s="10">
        <f>IF(I815="Yes",G815*Assumptions!$B$5*J815,0)</f>
        <v/>
      </c>
    </row>
    <row r="816">
      <c r="A816" t="n">
        <v>1578</v>
      </c>
      <c r="B816" t="inlineStr">
        <is>
          <t>Sales</t>
        </is>
      </c>
      <c r="C816" t="inlineStr">
        <is>
          <t>Manager</t>
        </is>
      </c>
      <c r="D816" t="inlineStr">
        <is>
          <t>No</t>
        </is>
      </c>
      <c r="E816" s="8" t="n">
        <v>19586</v>
      </c>
      <c r="F816" s="8">
        <f>E816*Assumptions!$B$7</f>
        <v/>
      </c>
      <c r="G816" s="9" t="n">
        <v>0.0233</v>
      </c>
      <c r="H816" t="inlineStr">
        <is>
          <t>Low</t>
        </is>
      </c>
      <c r="I816">
        <f>IF(G816&gt;=Assumptions!$B$4,"Yes","No")</f>
        <v/>
      </c>
      <c r="J816" s="8">
        <f>F816*Assumptions!$B$6</f>
        <v/>
      </c>
      <c r="K816" s="10">
        <f>G816*J816</f>
        <v/>
      </c>
      <c r="L816" s="10">
        <f>IF(I816="Yes",G816*Assumptions!$B$5*J816,0)</f>
        <v/>
      </c>
    </row>
    <row r="817">
      <c r="A817" t="n">
        <v>1013</v>
      </c>
      <c r="B817" t="inlineStr">
        <is>
          <t>Research &amp; Development</t>
        </is>
      </c>
      <c r="C817" t="inlineStr">
        <is>
          <t>Manufacturing Director</t>
        </is>
      </c>
      <c r="D817" t="inlineStr">
        <is>
          <t>No</t>
        </is>
      </c>
      <c r="E817" s="8" t="n">
        <v>10739</v>
      </c>
      <c r="F817" s="8">
        <f>E817*Assumptions!$B$7</f>
        <v/>
      </c>
      <c r="G817" s="9" t="n">
        <v>0.0232</v>
      </c>
      <c r="H817" t="inlineStr">
        <is>
          <t>Low</t>
        </is>
      </c>
      <c r="I817">
        <f>IF(G817&gt;=Assumptions!$B$4,"Yes","No")</f>
        <v/>
      </c>
      <c r="J817" s="8">
        <f>F817*Assumptions!$B$6</f>
        <v/>
      </c>
      <c r="K817" s="10">
        <f>G817*J817</f>
        <v/>
      </c>
      <c r="L817" s="10">
        <f>IF(I817="Yes",G817*Assumptions!$B$5*J817,0)</f>
        <v/>
      </c>
    </row>
    <row r="818">
      <c r="A818" t="n">
        <v>145</v>
      </c>
      <c r="B818" t="inlineStr">
        <is>
          <t>Research &amp; Development</t>
        </is>
      </c>
      <c r="C818" t="inlineStr">
        <is>
          <t>Healthcare Representative</t>
        </is>
      </c>
      <c r="D818" t="inlineStr">
        <is>
          <t>No</t>
        </is>
      </c>
      <c r="E818" s="8" t="n">
        <v>7484</v>
      </c>
      <c r="F818" s="8">
        <f>E818*Assumptions!$B$7</f>
        <v/>
      </c>
      <c r="G818" s="9" t="n">
        <v>0.0231</v>
      </c>
      <c r="H818" t="inlineStr">
        <is>
          <t>Low</t>
        </is>
      </c>
      <c r="I818">
        <f>IF(G818&gt;=Assumptions!$B$4,"Yes","No")</f>
        <v/>
      </c>
      <c r="J818" s="8">
        <f>F818*Assumptions!$B$6</f>
        <v/>
      </c>
      <c r="K818" s="10">
        <f>G818*J818</f>
        <v/>
      </c>
      <c r="L818" s="10">
        <f>IF(I818="Yes",G818*Assumptions!$B$5*J818,0)</f>
        <v/>
      </c>
    </row>
    <row r="819">
      <c r="A819" t="n">
        <v>476</v>
      </c>
      <c r="B819" t="inlineStr">
        <is>
          <t>Sales</t>
        </is>
      </c>
      <c r="C819" t="inlineStr">
        <is>
          <t>Sales Executive</t>
        </is>
      </c>
      <c r="D819" t="inlineStr">
        <is>
          <t>No</t>
        </is>
      </c>
      <c r="E819" s="8" t="n">
        <v>5296</v>
      </c>
      <c r="F819" s="8">
        <f>E819*Assumptions!$B$7</f>
        <v/>
      </c>
      <c r="G819" s="9" t="n">
        <v>0.0229</v>
      </c>
      <c r="H819" t="inlineStr">
        <is>
          <t>Low</t>
        </is>
      </c>
      <c r="I819">
        <f>IF(G819&gt;=Assumptions!$B$4,"Yes","No")</f>
        <v/>
      </c>
      <c r="J819" s="8">
        <f>F819*Assumptions!$B$6</f>
        <v/>
      </c>
      <c r="K819" s="10">
        <f>G819*J819</f>
        <v/>
      </c>
      <c r="L819" s="10">
        <f>IF(I819="Yes",G819*Assumptions!$B$5*J819,0)</f>
        <v/>
      </c>
    </row>
    <row r="820">
      <c r="A820" t="n">
        <v>769</v>
      </c>
      <c r="B820" t="inlineStr">
        <is>
          <t>Research &amp; Development</t>
        </is>
      </c>
      <c r="C820" t="inlineStr">
        <is>
          <t>Laboratory Technician</t>
        </is>
      </c>
      <c r="D820" t="inlineStr">
        <is>
          <t>No</t>
        </is>
      </c>
      <c r="E820" s="8" t="n">
        <v>2450</v>
      </c>
      <c r="F820" s="8">
        <f>E820*Assumptions!$B$7</f>
        <v/>
      </c>
      <c r="G820" s="9" t="n">
        <v>0.0229</v>
      </c>
      <c r="H820" t="inlineStr">
        <is>
          <t>Low</t>
        </is>
      </c>
      <c r="I820">
        <f>IF(G820&gt;=Assumptions!$B$4,"Yes","No")</f>
        <v/>
      </c>
      <c r="J820" s="8">
        <f>F820*Assumptions!$B$6</f>
        <v/>
      </c>
      <c r="K820" s="10">
        <f>G820*J820</f>
        <v/>
      </c>
      <c r="L820" s="10">
        <f>IF(I820="Yes",G820*Assumptions!$B$5*J820,0)</f>
        <v/>
      </c>
    </row>
    <row r="821">
      <c r="A821" t="n">
        <v>1362</v>
      </c>
      <c r="B821" t="inlineStr">
        <is>
          <t>Sales</t>
        </is>
      </c>
      <c r="C821" t="inlineStr">
        <is>
          <t>Sales Executive</t>
        </is>
      </c>
      <c r="D821" t="inlineStr">
        <is>
          <t>No</t>
        </is>
      </c>
      <c r="E821" s="8" t="n">
        <v>4639</v>
      </c>
      <c r="F821" s="8">
        <f>E821*Assumptions!$B$7</f>
        <v/>
      </c>
      <c r="G821" s="9" t="n">
        <v>0.0229</v>
      </c>
      <c r="H821" t="inlineStr">
        <is>
          <t>Low</t>
        </is>
      </c>
      <c r="I821">
        <f>IF(G821&gt;=Assumptions!$B$4,"Yes","No")</f>
        <v/>
      </c>
      <c r="J821" s="8">
        <f>F821*Assumptions!$B$6</f>
        <v/>
      </c>
      <c r="K821" s="10">
        <f>G821*J821</f>
        <v/>
      </c>
      <c r="L821" s="10">
        <f>IF(I821="Yes",G821*Assumptions!$B$5*J821,0)</f>
        <v/>
      </c>
    </row>
    <row r="822">
      <c r="A822" t="n">
        <v>947</v>
      </c>
      <c r="B822" t="inlineStr">
        <is>
          <t>Sales</t>
        </is>
      </c>
      <c r="C822" t="inlineStr">
        <is>
          <t>Sales Executive</t>
        </is>
      </c>
      <c r="D822" t="inlineStr">
        <is>
          <t>No</t>
        </is>
      </c>
      <c r="E822" s="8" t="n">
        <v>6932</v>
      </c>
      <c r="F822" s="8">
        <f>E822*Assumptions!$B$7</f>
        <v/>
      </c>
      <c r="G822" s="9" t="n">
        <v>0.0227</v>
      </c>
      <c r="H822" t="inlineStr">
        <is>
          <t>Low</t>
        </is>
      </c>
      <c r="I822">
        <f>IF(G822&gt;=Assumptions!$B$4,"Yes","No")</f>
        <v/>
      </c>
      <c r="J822" s="8">
        <f>F822*Assumptions!$B$6</f>
        <v/>
      </c>
      <c r="K822" s="10">
        <f>G822*J822</f>
        <v/>
      </c>
      <c r="L822" s="10">
        <f>IF(I822="Yes",G822*Assumptions!$B$5*J822,0)</f>
        <v/>
      </c>
    </row>
    <row r="823">
      <c r="A823" t="n">
        <v>1071</v>
      </c>
      <c r="B823" t="inlineStr">
        <is>
          <t>Research &amp; Development</t>
        </is>
      </c>
      <c r="C823" t="inlineStr">
        <is>
          <t>Research Scientist</t>
        </is>
      </c>
      <c r="D823" t="inlineStr">
        <is>
          <t>No</t>
        </is>
      </c>
      <c r="E823" s="8" t="n">
        <v>2942</v>
      </c>
      <c r="F823" s="8">
        <f>E823*Assumptions!$B$7</f>
        <v/>
      </c>
      <c r="G823" s="9" t="n">
        <v>0.0227</v>
      </c>
      <c r="H823" t="inlineStr">
        <is>
          <t>Low</t>
        </is>
      </c>
      <c r="I823">
        <f>IF(G823&gt;=Assumptions!$B$4,"Yes","No")</f>
        <v/>
      </c>
      <c r="J823" s="8">
        <f>F823*Assumptions!$B$6</f>
        <v/>
      </c>
      <c r="K823" s="10">
        <f>G823*J823</f>
        <v/>
      </c>
      <c r="L823" s="10">
        <f>IF(I823="Yes",G823*Assumptions!$B$5*J823,0)</f>
        <v/>
      </c>
    </row>
    <row r="824">
      <c r="A824" t="n">
        <v>1782</v>
      </c>
      <c r="B824" t="inlineStr">
        <is>
          <t>Research &amp; Development</t>
        </is>
      </c>
      <c r="C824" t="inlineStr">
        <is>
          <t>Laboratory Technician</t>
        </is>
      </c>
      <c r="D824" t="inlineStr">
        <is>
          <t>No</t>
        </is>
      </c>
      <c r="E824" s="8" t="n">
        <v>3702</v>
      </c>
      <c r="F824" s="8">
        <f>E824*Assumptions!$B$7</f>
        <v/>
      </c>
      <c r="G824" s="9" t="n">
        <v>0.0227</v>
      </c>
      <c r="H824" t="inlineStr">
        <is>
          <t>Low</t>
        </is>
      </c>
      <c r="I824">
        <f>IF(G824&gt;=Assumptions!$B$4,"Yes","No")</f>
        <v/>
      </c>
      <c r="J824" s="8">
        <f>F824*Assumptions!$B$6</f>
        <v/>
      </c>
      <c r="K824" s="10">
        <f>G824*J824</f>
        <v/>
      </c>
      <c r="L824" s="10">
        <f>IF(I824="Yes",G824*Assumptions!$B$5*J824,0)</f>
        <v/>
      </c>
    </row>
    <row r="825">
      <c r="A825" t="n">
        <v>1282</v>
      </c>
      <c r="B825" t="inlineStr">
        <is>
          <t>Sales</t>
        </is>
      </c>
      <c r="C825" t="inlineStr">
        <is>
          <t>Manager</t>
        </is>
      </c>
      <c r="D825" t="inlineStr">
        <is>
          <t>Yes</t>
        </is>
      </c>
      <c r="E825" s="8" t="n">
        <v>19847</v>
      </c>
      <c r="F825" s="8">
        <f>E825*Assumptions!$B$7</f>
        <v/>
      </c>
      <c r="G825" s="9" t="n">
        <v>0.0226</v>
      </c>
      <c r="H825" t="inlineStr">
        <is>
          <t>Low</t>
        </is>
      </c>
      <c r="I825">
        <f>IF(G825&gt;=Assumptions!$B$4,"Yes","No")</f>
        <v/>
      </c>
      <c r="J825" s="8">
        <f>F825*Assumptions!$B$6</f>
        <v/>
      </c>
      <c r="K825" s="10">
        <f>G825*J825</f>
        <v/>
      </c>
      <c r="L825" s="10">
        <f>IF(I825="Yes",G825*Assumptions!$B$5*J825,0)</f>
        <v/>
      </c>
    </row>
    <row r="826">
      <c r="A826" t="n">
        <v>1981</v>
      </c>
      <c r="B826" t="inlineStr">
        <is>
          <t>Research &amp; Development</t>
        </is>
      </c>
      <c r="C826" t="inlineStr">
        <is>
          <t>Healthcare Representative</t>
        </is>
      </c>
      <c r="D826" t="inlineStr">
        <is>
          <t>No</t>
        </is>
      </c>
      <c r="E826" s="8" t="n">
        <v>4617</v>
      </c>
      <c r="F826" s="8">
        <f>E826*Assumptions!$B$7</f>
        <v/>
      </c>
      <c r="G826" s="9" t="n">
        <v>0.0226</v>
      </c>
      <c r="H826" t="inlineStr">
        <is>
          <t>Low</t>
        </is>
      </c>
      <c r="I826">
        <f>IF(G826&gt;=Assumptions!$B$4,"Yes","No")</f>
        <v/>
      </c>
      <c r="J826" s="8">
        <f>F826*Assumptions!$B$6</f>
        <v/>
      </c>
      <c r="K826" s="10">
        <f>G826*J826</f>
        <v/>
      </c>
      <c r="L826" s="10">
        <f>IF(I826="Yes",G826*Assumptions!$B$5*J826,0)</f>
        <v/>
      </c>
    </row>
    <row r="827">
      <c r="A827" t="n">
        <v>1092</v>
      </c>
      <c r="B827" t="inlineStr">
        <is>
          <t>Research &amp; Development</t>
        </is>
      </c>
      <c r="C827" t="inlineStr">
        <is>
          <t>Healthcare Representative</t>
        </is>
      </c>
      <c r="D827" t="inlineStr">
        <is>
          <t>No</t>
        </is>
      </c>
      <c r="E827" s="8" t="n">
        <v>10322</v>
      </c>
      <c r="F827" s="8">
        <f>E827*Assumptions!$B$7</f>
        <v/>
      </c>
      <c r="G827" s="9" t="n">
        <v>0.0224</v>
      </c>
      <c r="H827" t="inlineStr">
        <is>
          <t>Low</t>
        </is>
      </c>
      <c r="I827">
        <f>IF(G827&gt;=Assumptions!$B$4,"Yes","No")</f>
        <v/>
      </c>
      <c r="J827" s="8">
        <f>F827*Assumptions!$B$6</f>
        <v/>
      </c>
      <c r="K827" s="10">
        <f>G827*J827</f>
        <v/>
      </c>
      <c r="L827" s="10">
        <f>IF(I827="Yes",G827*Assumptions!$B$5*J827,0)</f>
        <v/>
      </c>
    </row>
    <row r="828">
      <c r="A828" t="n">
        <v>340</v>
      </c>
      <c r="B828" t="inlineStr">
        <is>
          <t>Research &amp; Development</t>
        </is>
      </c>
      <c r="C828" t="inlineStr">
        <is>
          <t>Research Scientist</t>
        </is>
      </c>
      <c r="D828" t="inlineStr">
        <is>
          <t>No</t>
        </is>
      </c>
      <c r="E828" s="8" t="n">
        <v>3920</v>
      </c>
      <c r="F828" s="8">
        <f>E828*Assumptions!$B$7</f>
        <v/>
      </c>
      <c r="G828" s="9" t="n">
        <v>0.0224</v>
      </c>
      <c r="H828" t="inlineStr">
        <is>
          <t>Low</t>
        </is>
      </c>
      <c r="I828">
        <f>IF(G828&gt;=Assumptions!$B$4,"Yes","No")</f>
        <v/>
      </c>
      <c r="J828" s="8">
        <f>F828*Assumptions!$B$6</f>
        <v/>
      </c>
      <c r="K828" s="10">
        <f>G828*J828</f>
        <v/>
      </c>
      <c r="L828" s="10">
        <f>IF(I828="Yes",G828*Assumptions!$B$5*J828,0)</f>
        <v/>
      </c>
    </row>
    <row r="829">
      <c r="A829" t="n">
        <v>802</v>
      </c>
      <c r="B829" t="inlineStr">
        <is>
          <t>Research &amp; Development</t>
        </is>
      </c>
      <c r="C829" t="inlineStr">
        <is>
          <t>Research Scientist</t>
        </is>
      </c>
      <c r="D829" t="inlineStr">
        <is>
          <t>Yes</t>
        </is>
      </c>
      <c r="E829" s="8" t="n">
        <v>2782</v>
      </c>
      <c r="F829" s="8">
        <f>E829*Assumptions!$B$7</f>
        <v/>
      </c>
      <c r="G829" s="9" t="n">
        <v>0.0224</v>
      </c>
      <c r="H829" t="inlineStr">
        <is>
          <t>Low</t>
        </is>
      </c>
      <c r="I829">
        <f>IF(G829&gt;=Assumptions!$B$4,"Yes","No")</f>
        <v/>
      </c>
      <c r="J829" s="8">
        <f>F829*Assumptions!$B$6</f>
        <v/>
      </c>
      <c r="K829" s="10">
        <f>G829*J829</f>
        <v/>
      </c>
      <c r="L829" s="10">
        <f>IF(I829="Yes",G829*Assumptions!$B$5*J829,0)</f>
        <v/>
      </c>
    </row>
    <row r="830">
      <c r="A830" t="n">
        <v>1995</v>
      </c>
      <c r="B830" t="inlineStr">
        <is>
          <t>Sales</t>
        </is>
      </c>
      <c r="C830" t="inlineStr">
        <is>
          <t>Sales Executive</t>
        </is>
      </c>
      <c r="D830" t="inlineStr">
        <is>
          <t>No</t>
        </is>
      </c>
      <c r="E830" s="8" t="n">
        <v>4440</v>
      </c>
      <c r="F830" s="8">
        <f>E830*Assumptions!$B$7</f>
        <v/>
      </c>
      <c r="G830" s="9" t="n">
        <v>0.0223</v>
      </c>
      <c r="H830" t="inlineStr">
        <is>
          <t>Low</t>
        </is>
      </c>
      <c r="I830">
        <f>IF(G830&gt;=Assumptions!$B$4,"Yes","No")</f>
        <v/>
      </c>
      <c r="J830" s="8">
        <f>F830*Assumptions!$B$6</f>
        <v/>
      </c>
      <c r="K830" s="10">
        <f>G830*J830</f>
        <v/>
      </c>
      <c r="L830" s="10">
        <f>IF(I830="Yes",G830*Assumptions!$B$5*J830,0)</f>
        <v/>
      </c>
    </row>
    <row r="831">
      <c r="A831" t="n">
        <v>533</v>
      </c>
      <c r="B831" t="inlineStr">
        <is>
          <t>Sales</t>
        </is>
      </c>
      <c r="C831" t="inlineStr">
        <is>
          <t>Sales Executive</t>
        </is>
      </c>
      <c r="D831" t="inlineStr">
        <is>
          <t>No</t>
        </is>
      </c>
      <c r="E831" s="8" t="n">
        <v>6577</v>
      </c>
      <c r="F831" s="8">
        <f>E831*Assumptions!$B$7</f>
        <v/>
      </c>
      <c r="G831" s="9" t="n">
        <v>0.0223</v>
      </c>
      <c r="H831" t="inlineStr">
        <is>
          <t>Low</t>
        </is>
      </c>
      <c r="I831">
        <f>IF(G831&gt;=Assumptions!$B$4,"Yes","No")</f>
        <v/>
      </c>
      <c r="J831" s="8">
        <f>F831*Assumptions!$B$6</f>
        <v/>
      </c>
      <c r="K831" s="10">
        <f>G831*J831</f>
        <v/>
      </c>
      <c r="L831" s="10">
        <f>IF(I831="Yes",G831*Assumptions!$B$5*J831,0)</f>
        <v/>
      </c>
    </row>
    <row r="832">
      <c r="A832" t="n">
        <v>1845</v>
      </c>
      <c r="B832" t="inlineStr">
        <is>
          <t>Sales</t>
        </is>
      </c>
      <c r="C832" t="inlineStr">
        <is>
          <t>Sales Executive</t>
        </is>
      </c>
      <c r="D832" t="inlineStr">
        <is>
          <t>No</t>
        </is>
      </c>
      <c r="E832" s="8" t="n">
        <v>5154</v>
      </c>
      <c r="F832" s="8">
        <f>E832*Assumptions!$B$7</f>
        <v/>
      </c>
      <c r="G832" s="9" t="n">
        <v>0.0222</v>
      </c>
      <c r="H832" t="inlineStr">
        <is>
          <t>Low</t>
        </is>
      </c>
      <c r="I832">
        <f>IF(G832&gt;=Assumptions!$B$4,"Yes","No")</f>
        <v/>
      </c>
      <c r="J832" s="8">
        <f>F832*Assumptions!$B$6</f>
        <v/>
      </c>
      <c r="K832" s="10">
        <f>G832*J832</f>
        <v/>
      </c>
      <c r="L832" s="10">
        <f>IF(I832="Yes",G832*Assumptions!$B$5*J832,0)</f>
        <v/>
      </c>
    </row>
    <row r="833">
      <c r="A833" t="n">
        <v>13</v>
      </c>
      <c r="B833" t="inlineStr">
        <is>
          <t>Research &amp; Development</t>
        </is>
      </c>
      <c r="C833" t="inlineStr">
        <is>
          <t>Healthcare Representative</t>
        </is>
      </c>
      <c r="D833" t="inlineStr">
        <is>
          <t>No</t>
        </is>
      </c>
      <c r="E833" s="8" t="n">
        <v>5237</v>
      </c>
      <c r="F833" s="8">
        <f>E833*Assumptions!$B$7</f>
        <v/>
      </c>
      <c r="G833" s="9" t="n">
        <v>0.0222</v>
      </c>
      <c r="H833" t="inlineStr">
        <is>
          <t>Low</t>
        </is>
      </c>
      <c r="I833">
        <f>IF(G833&gt;=Assumptions!$B$4,"Yes","No")</f>
        <v/>
      </c>
      <c r="J833" s="8">
        <f>F833*Assumptions!$B$6</f>
        <v/>
      </c>
      <c r="K833" s="10">
        <f>G833*J833</f>
        <v/>
      </c>
      <c r="L833" s="10">
        <f>IF(I833="Yes",G833*Assumptions!$B$5*J833,0)</f>
        <v/>
      </c>
    </row>
    <row r="834">
      <c r="A834" t="n">
        <v>1770</v>
      </c>
      <c r="B834" t="inlineStr">
        <is>
          <t>Research &amp; Development</t>
        </is>
      </c>
      <c r="C834" t="inlineStr">
        <is>
          <t>Research Director</t>
        </is>
      </c>
      <c r="D834" t="inlineStr">
        <is>
          <t>No</t>
        </is>
      </c>
      <c r="E834" s="8" t="n">
        <v>19038</v>
      </c>
      <c r="F834" s="8">
        <f>E834*Assumptions!$B$7</f>
        <v/>
      </c>
      <c r="G834" s="9" t="n">
        <v>0.0222</v>
      </c>
      <c r="H834" t="inlineStr">
        <is>
          <t>Low</t>
        </is>
      </c>
      <c r="I834">
        <f>IF(G834&gt;=Assumptions!$B$4,"Yes","No")</f>
        <v/>
      </c>
      <c r="J834" s="8">
        <f>F834*Assumptions!$B$6</f>
        <v/>
      </c>
      <c r="K834" s="10">
        <f>G834*J834</f>
        <v/>
      </c>
      <c r="L834" s="10">
        <f>IF(I834="Yes",G834*Assumptions!$B$5*J834,0)</f>
        <v/>
      </c>
    </row>
    <row r="835">
      <c r="A835" t="n">
        <v>138</v>
      </c>
      <c r="B835" t="inlineStr">
        <is>
          <t>Research &amp; Development</t>
        </is>
      </c>
      <c r="C835" t="inlineStr">
        <is>
          <t>Research Scientist</t>
        </is>
      </c>
      <c r="D835" t="inlineStr">
        <is>
          <t>No</t>
        </is>
      </c>
      <c r="E835" s="8" t="n">
        <v>4809</v>
      </c>
      <c r="F835" s="8">
        <f>E835*Assumptions!$B$7</f>
        <v/>
      </c>
      <c r="G835" s="9" t="n">
        <v>0.022</v>
      </c>
      <c r="H835" t="inlineStr">
        <is>
          <t>Low</t>
        </is>
      </c>
      <c r="I835">
        <f>IF(G835&gt;=Assumptions!$B$4,"Yes","No")</f>
        <v/>
      </c>
      <c r="J835" s="8">
        <f>F835*Assumptions!$B$6</f>
        <v/>
      </c>
      <c r="K835" s="10">
        <f>G835*J835</f>
        <v/>
      </c>
      <c r="L835" s="10">
        <f>IF(I835="Yes",G835*Assumptions!$B$5*J835,0)</f>
        <v/>
      </c>
    </row>
    <row r="836">
      <c r="A836" t="n">
        <v>845</v>
      </c>
      <c r="B836" t="inlineStr">
        <is>
          <t>Research &amp; Development</t>
        </is>
      </c>
      <c r="C836" t="inlineStr">
        <is>
          <t>Manufacturing Director</t>
        </is>
      </c>
      <c r="D836" t="inlineStr">
        <is>
          <t>No</t>
        </is>
      </c>
      <c r="E836" s="8" t="n">
        <v>10221</v>
      </c>
      <c r="F836" s="8">
        <f>E836*Assumptions!$B$7</f>
        <v/>
      </c>
      <c r="G836" s="9" t="n">
        <v>0.022</v>
      </c>
      <c r="H836" t="inlineStr">
        <is>
          <t>Low</t>
        </is>
      </c>
      <c r="I836">
        <f>IF(G836&gt;=Assumptions!$B$4,"Yes","No")</f>
        <v/>
      </c>
      <c r="J836" s="8">
        <f>F836*Assumptions!$B$6</f>
        <v/>
      </c>
      <c r="K836" s="10">
        <f>G836*J836</f>
        <v/>
      </c>
      <c r="L836" s="10">
        <f>IF(I836="Yes",G836*Assumptions!$B$5*J836,0)</f>
        <v/>
      </c>
    </row>
    <row r="837">
      <c r="A837" t="n">
        <v>1315</v>
      </c>
      <c r="B837" t="inlineStr">
        <is>
          <t>Research &amp; Development</t>
        </is>
      </c>
      <c r="C837" t="inlineStr">
        <is>
          <t>Laboratory Technician</t>
        </is>
      </c>
      <c r="D837" t="inlineStr">
        <is>
          <t>No</t>
        </is>
      </c>
      <c r="E837" s="8" t="n">
        <v>6674</v>
      </c>
      <c r="F837" s="8">
        <f>E837*Assumptions!$B$7</f>
        <v/>
      </c>
      <c r="G837" s="9" t="n">
        <v>0.022</v>
      </c>
      <c r="H837" t="inlineStr">
        <is>
          <t>Low</t>
        </is>
      </c>
      <c r="I837">
        <f>IF(G837&gt;=Assumptions!$B$4,"Yes","No")</f>
        <v/>
      </c>
      <c r="J837" s="8">
        <f>F837*Assumptions!$B$6</f>
        <v/>
      </c>
      <c r="K837" s="10">
        <f>G837*J837</f>
        <v/>
      </c>
      <c r="L837" s="10">
        <f>IF(I837="Yes",G837*Assumptions!$B$5*J837,0)</f>
        <v/>
      </c>
    </row>
    <row r="838">
      <c r="A838" t="n">
        <v>515</v>
      </c>
      <c r="B838" t="inlineStr">
        <is>
          <t>Research &amp; Development</t>
        </is>
      </c>
      <c r="C838" t="inlineStr">
        <is>
          <t>Laboratory Technician</t>
        </is>
      </c>
      <c r="D838" t="inlineStr">
        <is>
          <t>No</t>
        </is>
      </c>
      <c r="E838" s="8" t="n">
        <v>3034</v>
      </c>
      <c r="F838" s="8">
        <f>E838*Assumptions!$B$7</f>
        <v/>
      </c>
      <c r="G838" s="9" t="n">
        <v>0.022</v>
      </c>
      <c r="H838" t="inlineStr">
        <is>
          <t>Low</t>
        </is>
      </c>
      <c r="I838">
        <f>IF(G838&gt;=Assumptions!$B$4,"Yes","No")</f>
        <v/>
      </c>
      <c r="J838" s="8">
        <f>F838*Assumptions!$B$6</f>
        <v/>
      </c>
      <c r="K838" s="10">
        <f>G838*J838</f>
        <v/>
      </c>
      <c r="L838" s="10">
        <f>IF(I838="Yes",G838*Assumptions!$B$5*J838,0)</f>
        <v/>
      </c>
    </row>
    <row r="839">
      <c r="A839" t="n">
        <v>1128</v>
      </c>
      <c r="B839" t="inlineStr">
        <is>
          <t>Research &amp; Development</t>
        </is>
      </c>
      <c r="C839" t="inlineStr">
        <is>
          <t>Research Director</t>
        </is>
      </c>
      <c r="D839" t="inlineStr">
        <is>
          <t>No</t>
        </is>
      </c>
      <c r="E839" s="8" t="n">
        <v>19626</v>
      </c>
      <c r="F839" s="8">
        <f>E839*Assumptions!$B$7</f>
        <v/>
      </c>
      <c r="G839" s="9" t="n">
        <v>0.0219</v>
      </c>
      <c r="H839" t="inlineStr">
        <is>
          <t>Low</t>
        </is>
      </c>
      <c r="I839">
        <f>IF(G839&gt;=Assumptions!$B$4,"Yes","No")</f>
        <v/>
      </c>
      <c r="J839" s="8">
        <f>F839*Assumptions!$B$6</f>
        <v/>
      </c>
      <c r="K839" s="10">
        <f>G839*J839</f>
        <v/>
      </c>
      <c r="L839" s="10">
        <f>IF(I839="Yes",G839*Assumptions!$B$5*J839,0)</f>
        <v/>
      </c>
    </row>
    <row r="840">
      <c r="A840" t="n">
        <v>710</v>
      </c>
      <c r="B840" t="inlineStr">
        <is>
          <t>Research &amp; Development</t>
        </is>
      </c>
      <c r="C840" t="inlineStr">
        <is>
          <t>Research Scientist</t>
        </is>
      </c>
      <c r="D840" t="inlineStr">
        <is>
          <t>No</t>
        </is>
      </c>
      <c r="E840" s="8" t="n">
        <v>2720</v>
      </c>
      <c r="F840" s="8">
        <f>E840*Assumptions!$B$7</f>
        <v/>
      </c>
      <c r="G840" s="9" t="n">
        <v>0.0219</v>
      </c>
      <c r="H840" t="inlineStr">
        <is>
          <t>Low</t>
        </is>
      </c>
      <c r="I840">
        <f>IF(G840&gt;=Assumptions!$B$4,"Yes","No")</f>
        <v/>
      </c>
      <c r="J840" s="8">
        <f>F840*Assumptions!$B$6</f>
        <v/>
      </c>
      <c r="K840" s="10">
        <f>G840*J840</f>
        <v/>
      </c>
      <c r="L840" s="10">
        <f>IF(I840="Yes",G840*Assumptions!$B$5*J840,0)</f>
        <v/>
      </c>
    </row>
    <row r="841">
      <c r="A841" t="n">
        <v>387</v>
      </c>
      <c r="B841" t="inlineStr">
        <is>
          <t>Sales</t>
        </is>
      </c>
      <c r="C841" t="inlineStr">
        <is>
          <t>Sales Executive</t>
        </is>
      </c>
      <c r="D841" t="inlineStr">
        <is>
          <t>No</t>
        </is>
      </c>
      <c r="E841" s="8" t="n">
        <v>4907</v>
      </c>
      <c r="F841" s="8">
        <f>E841*Assumptions!$B$7</f>
        <v/>
      </c>
      <c r="G841" s="9" t="n">
        <v>0.0218</v>
      </c>
      <c r="H841" t="inlineStr">
        <is>
          <t>Low</t>
        </is>
      </c>
      <c r="I841">
        <f>IF(G841&gt;=Assumptions!$B$4,"Yes","No")</f>
        <v/>
      </c>
      <c r="J841" s="8">
        <f>F841*Assumptions!$B$6</f>
        <v/>
      </c>
      <c r="K841" s="10">
        <f>G841*J841</f>
        <v/>
      </c>
      <c r="L841" s="10">
        <f>IF(I841="Yes",G841*Assumptions!$B$5*J841,0)</f>
        <v/>
      </c>
    </row>
    <row r="842">
      <c r="A842" t="n">
        <v>200</v>
      </c>
      <c r="B842" t="inlineStr">
        <is>
          <t>Research &amp; Development</t>
        </is>
      </c>
      <c r="C842" t="inlineStr">
        <is>
          <t>Laboratory Technician</t>
        </is>
      </c>
      <c r="D842" t="inlineStr">
        <is>
          <t>No</t>
        </is>
      </c>
      <c r="E842" s="8" t="n">
        <v>2238</v>
      </c>
      <c r="F842" s="8">
        <f>E842*Assumptions!$B$7</f>
        <v/>
      </c>
      <c r="G842" s="9" t="n">
        <v>0.0217</v>
      </c>
      <c r="H842" t="inlineStr">
        <is>
          <t>Low</t>
        </is>
      </c>
      <c r="I842">
        <f>IF(G842&gt;=Assumptions!$B$4,"Yes","No")</f>
        <v/>
      </c>
      <c r="J842" s="8">
        <f>F842*Assumptions!$B$6</f>
        <v/>
      </c>
      <c r="K842" s="10">
        <f>G842*J842</f>
        <v/>
      </c>
      <c r="L842" s="10">
        <f>IF(I842="Yes",G842*Assumptions!$B$5*J842,0)</f>
        <v/>
      </c>
    </row>
    <row r="843">
      <c r="A843" t="n">
        <v>367</v>
      </c>
      <c r="B843" t="inlineStr">
        <is>
          <t>Research &amp; Development</t>
        </is>
      </c>
      <c r="C843" t="inlineStr">
        <is>
          <t>Healthcare Representative</t>
        </is>
      </c>
      <c r="D843" t="inlineStr">
        <is>
          <t>No</t>
        </is>
      </c>
      <c r="E843" s="8" t="n">
        <v>5582</v>
      </c>
      <c r="F843" s="8">
        <f>E843*Assumptions!$B$7</f>
        <v/>
      </c>
      <c r="G843" s="9" t="n">
        <v>0.0215</v>
      </c>
      <c r="H843" t="inlineStr">
        <is>
          <t>Low</t>
        </is>
      </c>
      <c r="I843">
        <f>IF(G843&gt;=Assumptions!$B$4,"Yes","No")</f>
        <v/>
      </c>
      <c r="J843" s="8">
        <f>F843*Assumptions!$B$6</f>
        <v/>
      </c>
      <c r="K843" s="10">
        <f>G843*J843</f>
        <v/>
      </c>
      <c r="L843" s="10">
        <f>IF(I843="Yes",G843*Assumptions!$B$5*J843,0)</f>
        <v/>
      </c>
    </row>
    <row r="844">
      <c r="A844" t="n">
        <v>1061</v>
      </c>
      <c r="B844" t="inlineStr">
        <is>
          <t>Research &amp; Development</t>
        </is>
      </c>
      <c r="C844" t="inlineStr">
        <is>
          <t>Research Director</t>
        </is>
      </c>
      <c r="D844" t="inlineStr">
        <is>
          <t>Yes</t>
        </is>
      </c>
      <c r="E844" s="8" t="n">
        <v>19237</v>
      </c>
      <c r="F844" s="8">
        <f>E844*Assumptions!$B$7</f>
        <v/>
      </c>
      <c r="G844" s="9" t="n">
        <v>0.0215</v>
      </c>
      <c r="H844" t="inlineStr">
        <is>
          <t>Low</t>
        </is>
      </c>
      <c r="I844">
        <f>IF(G844&gt;=Assumptions!$B$4,"Yes","No")</f>
        <v/>
      </c>
      <c r="J844" s="8">
        <f>F844*Assumptions!$B$6</f>
        <v/>
      </c>
      <c r="K844" s="10">
        <f>G844*J844</f>
        <v/>
      </c>
      <c r="L844" s="10">
        <f>IF(I844="Yes",G844*Assumptions!$B$5*J844,0)</f>
        <v/>
      </c>
    </row>
    <row r="845">
      <c r="A845" t="n">
        <v>1235</v>
      </c>
      <c r="B845" t="inlineStr">
        <is>
          <t>Research &amp; Development</t>
        </is>
      </c>
      <c r="C845" t="inlineStr">
        <is>
          <t>Research Scientist</t>
        </is>
      </c>
      <c r="D845" t="inlineStr">
        <is>
          <t>Yes</t>
        </is>
      </c>
      <c r="E845" s="8" t="n">
        <v>4998</v>
      </c>
      <c r="F845" s="8">
        <f>E845*Assumptions!$B$7</f>
        <v/>
      </c>
      <c r="G845" s="9" t="n">
        <v>0.0214</v>
      </c>
      <c r="H845" t="inlineStr">
        <is>
          <t>Low</t>
        </is>
      </c>
      <c r="I845">
        <f>IF(G845&gt;=Assumptions!$B$4,"Yes","No")</f>
        <v/>
      </c>
      <c r="J845" s="8">
        <f>F845*Assumptions!$B$6</f>
        <v/>
      </c>
      <c r="K845" s="10">
        <f>G845*J845</f>
        <v/>
      </c>
      <c r="L845" s="10">
        <f>IF(I845="Yes",G845*Assumptions!$B$5*J845,0)</f>
        <v/>
      </c>
    </row>
    <row r="846">
      <c r="A846" t="n">
        <v>1245</v>
      </c>
      <c r="B846" t="inlineStr">
        <is>
          <t>Research &amp; Development</t>
        </is>
      </c>
      <c r="C846" t="inlineStr">
        <is>
          <t>Manufacturing Director</t>
        </is>
      </c>
      <c r="D846" t="inlineStr">
        <is>
          <t>No</t>
        </is>
      </c>
      <c r="E846" s="8" t="n">
        <v>10502</v>
      </c>
      <c r="F846" s="8">
        <f>E846*Assumptions!$B$7</f>
        <v/>
      </c>
      <c r="G846" s="9" t="n">
        <v>0.0213</v>
      </c>
      <c r="H846" t="inlineStr">
        <is>
          <t>Low</t>
        </is>
      </c>
      <c r="I846">
        <f>IF(G846&gt;=Assumptions!$B$4,"Yes","No")</f>
        <v/>
      </c>
      <c r="J846" s="8">
        <f>F846*Assumptions!$B$6</f>
        <v/>
      </c>
      <c r="K846" s="10">
        <f>G846*J846</f>
        <v/>
      </c>
      <c r="L846" s="10">
        <f>IF(I846="Yes",G846*Assumptions!$B$5*J846,0)</f>
        <v/>
      </c>
    </row>
    <row r="847">
      <c r="A847" t="n">
        <v>1975</v>
      </c>
      <c r="B847" t="inlineStr">
        <is>
          <t>Sales</t>
        </is>
      </c>
      <c r="C847" t="inlineStr">
        <is>
          <t>Sales Executive</t>
        </is>
      </c>
      <c r="D847" t="inlineStr">
        <is>
          <t>No</t>
        </is>
      </c>
      <c r="E847" s="8" t="n">
        <v>13341</v>
      </c>
      <c r="F847" s="8">
        <f>E847*Assumptions!$B$7</f>
        <v/>
      </c>
      <c r="G847" s="9" t="n">
        <v>0.0212</v>
      </c>
      <c r="H847" t="inlineStr">
        <is>
          <t>Low</t>
        </is>
      </c>
      <c r="I847">
        <f>IF(G847&gt;=Assumptions!$B$4,"Yes","No")</f>
        <v/>
      </c>
      <c r="J847" s="8">
        <f>F847*Assumptions!$B$6</f>
        <v/>
      </c>
      <c r="K847" s="10">
        <f>G847*J847</f>
        <v/>
      </c>
      <c r="L847" s="10">
        <f>IF(I847="Yes",G847*Assumptions!$B$5*J847,0)</f>
        <v/>
      </c>
    </row>
    <row r="848">
      <c r="A848" t="n">
        <v>479</v>
      </c>
      <c r="B848" t="inlineStr">
        <is>
          <t>Sales</t>
        </is>
      </c>
      <c r="C848" t="inlineStr">
        <is>
          <t>Sales Executive</t>
        </is>
      </c>
      <c r="D848" t="inlineStr">
        <is>
          <t>No</t>
        </is>
      </c>
      <c r="E848" s="8" t="n">
        <v>6653</v>
      </c>
      <c r="F848" s="8">
        <f>E848*Assumptions!$B$7</f>
        <v/>
      </c>
      <c r="G848" s="9" t="n">
        <v>0.0211</v>
      </c>
      <c r="H848" t="inlineStr">
        <is>
          <t>Low</t>
        </is>
      </c>
      <c r="I848">
        <f>IF(G848&gt;=Assumptions!$B$4,"Yes","No")</f>
        <v/>
      </c>
      <c r="J848" s="8">
        <f>F848*Assumptions!$B$6</f>
        <v/>
      </c>
      <c r="K848" s="10">
        <f>G848*J848</f>
        <v/>
      </c>
      <c r="L848" s="10">
        <f>IF(I848="Yes",G848*Assumptions!$B$5*J848,0)</f>
        <v/>
      </c>
    </row>
    <row r="849">
      <c r="A849" t="n">
        <v>809</v>
      </c>
      <c r="B849" t="inlineStr">
        <is>
          <t>Research &amp; Development</t>
        </is>
      </c>
      <c r="C849" t="inlineStr">
        <is>
          <t>Manager</t>
        </is>
      </c>
      <c r="D849" t="inlineStr">
        <is>
          <t>No</t>
        </is>
      </c>
      <c r="E849" s="8" t="n">
        <v>18430</v>
      </c>
      <c r="F849" s="8">
        <f>E849*Assumptions!$B$7</f>
        <v/>
      </c>
      <c r="G849" s="9" t="n">
        <v>0.021</v>
      </c>
      <c r="H849" t="inlineStr">
        <is>
          <t>Low</t>
        </is>
      </c>
      <c r="I849">
        <f>IF(G849&gt;=Assumptions!$B$4,"Yes","No")</f>
        <v/>
      </c>
      <c r="J849" s="8">
        <f>F849*Assumptions!$B$6</f>
        <v/>
      </c>
      <c r="K849" s="10">
        <f>G849*J849</f>
        <v/>
      </c>
      <c r="L849" s="10">
        <f>IF(I849="Yes",G849*Assumptions!$B$5*J849,0)</f>
        <v/>
      </c>
    </row>
    <row r="850">
      <c r="A850" t="n">
        <v>1152</v>
      </c>
      <c r="B850" t="inlineStr">
        <is>
          <t>Human Resources</t>
        </is>
      </c>
      <c r="C850" t="inlineStr">
        <is>
          <t>Human Resources</t>
        </is>
      </c>
      <c r="D850" t="inlineStr">
        <is>
          <t>No</t>
        </is>
      </c>
      <c r="E850" s="8" t="n">
        <v>2844</v>
      </c>
      <c r="F850" s="8">
        <f>E850*Assumptions!$B$7</f>
        <v/>
      </c>
      <c r="G850" s="9" t="n">
        <v>0.0205</v>
      </c>
      <c r="H850" t="inlineStr">
        <is>
          <t>Low</t>
        </is>
      </c>
      <c r="I850">
        <f>IF(G850&gt;=Assumptions!$B$4,"Yes","No")</f>
        <v/>
      </c>
      <c r="J850" s="8">
        <f>F850*Assumptions!$B$6</f>
        <v/>
      </c>
      <c r="K850" s="10">
        <f>G850*J850</f>
        <v/>
      </c>
      <c r="L850" s="10">
        <f>IF(I850="Yes",G850*Assumptions!$B$5*J850,0)</f>
        <v/>
      </c>
    </row>
    <row r="851">
      <c r="A851" t="n">
        <v>233</v>
      </c>
      <c r="B851" t="inlineStr">
        <is>
          <t>Research &amp; Development</t>
        </is>
      </c>
      <c r="C851" t="inlineStr">
        <is>
          <t>Research Scientist</t>
        </is>
      </c>
      <c r="D851" t="inlineStr">
        <is>
          <t>Yes</t>
        </is>
      </c>
      <c r="E851" s="8" t="n">
        <v>3058</v>
      </c>
      <c r="F851" s="8">
        <f>E851*Assumptions!$B$7</f>
        <v/>
      </c>
      <c r="G851" s="9" t="n">
        <v>0.0205</v>
      </c>
      <c r="H851" t="inlineStr">
        <is>
          <t>Low</t>
        </is>
      </c>
      <c r="I851">
        <f>IF(G851&gt;=Assumptions!$B$4,"Yes","No")</f>
        <v/>
      </c>
      <c r="J851" s="8">
        <f>F851*Assumptions!$B$6</f>
        <v/>
      </c>
      <c r="K851" s="10">
        <f>G851*J851</f>
        <v/>
      </c>
      <c r="L851" s="10">
        <f>IF(I851="Yes",G851*Assumptions!$B$5*J851,0)</f>
        <v/>
      </c>
    </row>
    <row r="852">
      <c r="A852" t="n">
        <v>985</v>
      </c>
      <c r="B852" t="inlineStr">
        <is>
          <t>Sales</t>
        </is>
      </c>
      <c r="C852" t="inlineStr">
        <is>
          <t>Sales Executive</t>
        </is>
      </c>
      <c r="D852" t="inlineStr">
        <is>
          <t>No</t>
        </is>
      </c>
      <c r="E852" s="8" t="n">
        <v>7880</v>
      </c>
      <c r="F852" s="8">
        <f>E852*Assumptions!$B$7</f>
        <v/>
      </c>
      <c r="G852" s="9" t="n">
        <v>0.0204</v>
      </c>
      <c r="H852" t="inlineStr">
        <is>
          <t>Low</t>
        </is>
      </c>
      <c r="I852">
        <f>IF(G852&gt;=Assumptions!$B$4,"Yes","No")</f>
        <v/>
      </c>
      <c r="J852" s="8">
        <f>F852*Assumptions!$B$6</f>
        <v/>
      </c>
      <c r="K852" s="10">
        <f>G852*J852</f>
        <v/>
      </c>
      <c r="L852" s="10">
        <f>IF(I852="Yes",G852*Assumptions!$B$5*J852,0)</f>
        <v/>
      </c>
    </row>
    <row r="853">
      <c r="A853" t="n">
        <v>1621</v>
      </c>
      <c r="B853" t="inlineStr">
        <is>
          <t>Research &amp; Development</t>
        </is>
      </c>
      <c r="C853" t="inlineStr">
        <is>
          <t>Research Scientist</t>
        </is>
      </c>
      <c r="D853" t="inlineStr">
        <is>
          <t>No</t>
        </is>
      </c>
      <c r="E853" s="8" t="n">
        <v>5208</v>
      </c>
      <c r="F853" s="8">
        <f>E853*Assumptions!$B$7</f>
        <v/>
      </c>
      <c r="G853" s="9" t="n">
        <v>0.0204</v>
      </c>
      <c r="H853" t="inlineStr">
        <is>
          <t>Low</t>
        </is>
      </c>
      <c r="I853">
        <f>IF(G853&gt;=Assumptions!$B$4,"Yes","No")</f>
        <v/>
      </c>
      <c r="J853" s="8">
        <f>F853*Assumptions!$B$6</f>
        <v/>
      </c>
      <c r="K853" s="10">
        <f>G853*J853</f>
        <v/>
      </c>
      <c r="L853" s="10">
        <f>IF(I853="Yes",G853*Assumptions!$B$5*J853,0)</f>
        <v/>
      </c>
    </row>
    <row r="854">
      <c r="A854" t="n">
        <v>861</v>
      </c>
      <c r="B854" t="inlineStr">
        <is>
          <t>Research &amp; Development</t>
        </is>
      </c>
      <c r="C854" t="inlineStr">
        <is>
          <t>Research Scientist</t>
        </is>
      </c>
      <c r="D854" t="inlineStr">
        <is>
          <t>No</t>
        </is>
      </c>
      <c r="E854" s="8" t="n">
        <v>3761</v>
      </c>
      <c r="F854" s="8">
        <f>E854*Assumptions!$B$7</f>
        <v/>
      </c>
      <c r="G854" s="9" t="n">
        <v>0.0204</v>
      </c>
      <c r="H854" t="inlineStr">
        <is>
          <t>Low</t>
        </is>
      </c>
      <c r="I854">
        <f>IF(G854&gt;=Assumptions!$B$4,"Yes","No")</f>
        <v/>
      </c>
      <c r="J854" s="8">
        <f>F854*Assumptions!$B$6</f>
        <v/>
      </c>
      <c r="K854" s="10">
        <f>G854*J854</f>
        <v/>
      </c>
      <c r="L854" s="10">
        <f>IF(I854="Yes",G854*Assumptions!$B$5*J854,0)</f>
        <v/>
      </c>
    </row>
    <row r="855">
      <c r="A855" t="n">
        <v>692</v>
      </c>
      <c r="B855" t="inlineStr">
        <is>
          <t>Research &amp; Development</t>
        </is>
      </c>
      <c r="C855" t="inlineStr">
        <is>
          <t>Healthcare Representative</t>
        </is>
      </c>
      <c r="D855" t="inlineStr">
        <is>
          <t>No</t>
        </is>
      </c>
      <c r="E855" s="8" t="n">
        <v>7725</v>
      </c>
      <c r="F855" s="8">
        <f>E855*Assumptions!$B$7</f>
        <v/>
      </c>
      <c r="G855" s="9" t="n">
        <v>0.0202</v>
      </c>
      <c r="H855" t="inlineStr">
        <is>
          <t>Low</t>
        </is>
      </c>
      <c r="I855">
        <f>IF(G855&gt;=Assumptions!$B$4,"Yes","No")</f>
        <v/>
      </c>
      <c r="J855" s="8">
        <f>F855*Assumptions!$B$6</f>
        <v/>
      </c>
      <c r="K855" s="10">
        <f>G855*J855</f>
        <v/>
      </c>
      <c r="L855" s="10">
        <f>IF(I855="Yes",G855*Assumptions!$B$5*J855,0)</f>
        <v/>
      </c>
    </row>
    <row r="856">
      <c r="A856" t="n">
        <v>2016</v>
      </c>
      <c r="B856" t="inlineStr">
        <is>
          <t>Sales</t>
        </is>
      </c>
      <c r="C856" t="inlineStr">
        <is>
          <t>Sales Executive</t>
        </is>
      </c>
      <c r="D856" t="inlineStr">
        <is>
          <t>No</t>
        </is>
      </c>
      <c r="E856" s="8" t="n">
        <v>10422</v>
      </c>
      <c r="F856" s="8">
        <f>E856*Assumptions!$B$7</f>
        <v/>
      </c>
      <c r="G856" s="9" t="n">
        <v>0.0202</v>
      </c>
      <c r="H856" t="inlineStr">
        <is>
          <t>Low</t>
        </is>
      </c>
      <c r="I856">
        <f>IF(G856&gt;=Assumptions!$B$4,"Yes","No")</f>
        <v/>
      </c>
      <c r="J856" s="8">
        <f>F856*Assumptions!$B$6</f>
        <v/>
      </c>
      <c r="K856" s="10">
        <f>G856*J856</f>
        <v/>
      </c>
      <c r="L856" s="10">
        <f>IF(I856="Yes",G856*Assumptions!$B$5*J856,0)</f>
        <v/>
      </c>
    </row>
    <row r="857">
      <c r="A857" t="n">
        <v>663</v>
      </c>
      <c r="B857" t="inlineStr">
        <is>
          <t>Research &amp; Development</t>
        </is>
      </c>
      <c r="C857" t="inlineStr">
        <is>
          <t>Laboratory Technician</t>
        </is>
      </c>
      <c r="D857" t="inlineStr">
        <is>
          <t>Yes</t>
        </is>
      </c>
      <c r="E857" s="8" t="n">
        <v>5679</v>
      </c>
      <c r="F857" s="8">
        <f>E857*Assumptions!$B$7</f>
        <v/>
      </c>
      <c r="G857" s="9" t="n">
        <v>0.0201</v>
      </c>
      <c r="H857" t="inlineStr">
        <is>
          <t>Low</t>
        </is>
      </c>
      <c r="I857">
        <f>IF(G857&gt;=Assumptions!$B$4,"Yes","No")</f>
        <v/>
      </c>
      <c r="J857" s="8">
        <f>F857*Assumptions!$B$6</f>
        <v/>
      </c>
      <c r="K857" s="10">
        <f>G857*J857</f>
        <v/>
      </c>
      <c r="L857" s="10">
        <f>IF(I857="Yes",G857*Assumptions!$B$5*J857,0)</f>
        <v/>
      </c>
    </row>
    <row r="858">
      <c r="A858" t="n">
        <v>361</v>
      </c>
      <c r="B858" t="inlineStr">
        <is>
          <t>Sales</t>
        </is>
      </c>
      <c r="C858" t="inlineStr">
        <is>
          <t>Sales Executive</t>
        </is>
      </c>
      <c r="D858" t="inlineStr">
        <is>
          <t>No</t>
        </is>
      </c>
      <c r="E858" s="8" t="n">
        <v>5249</v>
      </c>
      <c r="F858" s="8">
        <f>E858*Assumptions!$B$7</f>
        <v/>
      </c>
      <c r="G858" s="9" t="n">
        <v>0.0201</v>
      </c>
      <c r="H858" t="inlineStr">
        <is>
          <t>Low</t>
        </is>
      </c>
      <c r="I858">
        <f>IF(G858&gt;=Assumptions!$B$4,"Yes","No")</f>
        <v/>
      </c>
      <c r="J858" s="8">
        <f>F858*Assumptions!$B$6</f>
        <v/>
      </c>
      <c r="K858" s="10">
        <f>G858*J858</f>
        <v/>
      </c>
      <c r="L858" s="10">
        <f>IF(I858="Yes",G858*Assumptions!$B$5*J858,0)</f>
        <v/>
      </c>
    </row>
    <row r="859">
      <c r="A859" t="n">
        <v>477</v>
      </c>
      <c r="B859" t="inlineStr">
        <is>
          <t>Research &amp; Development</t>
        </is>
      </c>
      <c r="C859" t="inlineStr">
        <is>
          <t>Healthcare Representative</t>
        </is>
      </c>
      <c r="D859" t="inlineStr">
        <is>
          <t>No</t>
        </is>
      </c>
      <c r="E859" s="8" t="n">
        <v>6781</v>
      </c>
      <c r="F859" s="8">
        <f>E859*Assumptions!$B$7</f>
        <v/>
      </c>
      <c r="G859" s="9" t="n">
        <v>0.0201</v>
      </c>
      <c r="H859" t="inlineStr">
        <is>
          <t>Low</t>
        </is>
      </c>
      <c r="I859">
        <f>IF(G859&gt;=Assumptions!$B$4,"Yes","No")</f>
        <v/>
      </c>
      <c r="J859" s="8">
        <f>F859*Assumptions!$B$6</f>
        <v/>
      </c>
      <c r="K859" s="10">
        <f>G859*J859</f>
        <v/>
      </c>
      <c r="L859" s="10">
        <f>IF(I859="Yes",G859*Assumptions!$B$5*J859,0)</f>
        <v/>
      </c>
    </row>
    <row r="860">
      <c r="A860" t="n">
        <v>813</v>
      </c>
      <c r="B860" t="inlineStr">
        <is>
          <t>Research &amp; Development</t>
        </is>
      </c>
      <c r="C860" t="inlineStr">
        <is>
          <t>Laboratory Technician</t>
        </is>
      </c>
      <c r="D860" t="inlineStr">
        <is>
          <t>No</t>
        </is>
      </c>
      <c r="E860" s="8" t="n">
        <v>3149</v>
      </c>
      <c r="F860" s="8">
        <f>E860*Assumptions!$B$7</f>
        <v/>
      </c>
      <c r="G860" s="9" t="n">
        <v>0.0201</v>
      </c>
      <c r="H860" t="inlineStr">
        <is>
          <t>Low</t>
        </is>
      </c>
      <c r="I860">
        <f>IF(G860&gt;=Assumptions!$B$4,"Yes","No")</f>
        <v/>
      </c>
      <c r="J860" s="8">
        <f>F860*Assumptions!$B$6</f>
        <v/>
      </c>
      <c r="K860" s="10">
        <f>G860*J860</f>
        <v/>
      </c>
      <c r="L860" s="10">
        <f>IF(I860="Yes",G860*Assumptions!$B$5*J860,0)</f>
        <v/>
      </c>
    </row>
    <row r="861">
      <c r="A861" t="n">
        <v>100</v>
      </c>
      <c r="B861" t="inlineStr">
        <is>
          <t>Sales</t>
        </is>
      </c>
      <c r="C861" t="inlineStr">
        <is>
          <t>Sales Executive</t>
        </is>
      </c>
      <c r="D861" t="inlineStr">
        <is>
          <t>No</t>
        </is>
      </c>
      <c r="E861" s="8" t="n">
        <v>4312</v>
      </c>
      <c r="F861" s="8">
        <f>E861*Assumptions!$B$7</f>
        <v/>
      </c>
      <c r="G861" s="9" t="n">
        <v>0.0201</v>
      </c>
      <c r="H861" t="inlineStr">
        <is>
          <t>Low</t>
        </is>
      </c>
      <c r="I861">
        <f>IF(G861&gt;=Assumptions!$B$4,"Yes","No")</f>
        <v/>
      </c>
      <c r="J861" s="8">
        <f>F861*Assumptions!$B$6</f>
        <v/>
      </c>
      <c r="K861" s="10">
        <f>G861*J861</f>
        <v/>
      </c>
      <c r="L861" s="10">
        <f>IF(I861="Yes",G861*Assumptions!$B$5*J861,0)</f>
        <v/>
      </c>
    </row>
    <row r="862">
      <c r="A862" t="n">
        <v>1267</v>
      </c>
      <c r="B862" t="inlineStr">
        <is>
          <t>Sales</t>
        </is>
      </c>
      <c r="C862" t="inlineStr">
        <is>
          <t>Manager</t>
        </is>
      </c>
      <c r="D862" t="inlineStr">
        <is>
          <t>No</t>
        </is>
      </c>
      <c r="E862" s="8" t="n">
        <v>18213</v>
      </c>
      <c r="F862" s="8">
        <f>E862*Assumptions!$B$7</f>
        <v/>
      </c>
      <c r="G862" s="9" t="n">
        <v>0.02</v>
      </c>
      <c r="H862" t="inlineStr">
        <is>
          <t>Low</t>
        </is>
      </c>
      <c r="I862">
        <f>IF(G862&gt;=Assumptions!$B$4,"Yes","No")</f>
        <v/>
      </c>
      <c r="J862" s="8">
        <f>F862*Assumptions!$B$6</f>
        <v/>
      </c>
      <c r="K862" s="10">
        <f>G862*J862</f>
        <v/>
      </c>
      <c r="L862" s="10">
        <f>IF(I862="Yes",G862*Assumptions!$B$5*J862,0)</f>
        <v/>
      </c>
    </row>
    <row r="863">
      <c r="A863" t="n">
        <v>964</v>
      </c>
      <c r="B863" t="inlineStr">
        <is>
          <t>Research &amp; Development</t>
        </is>
      </c>
      <c r="C863" t="inlineStr">
        <is>
          <t>Research Scientist</t>
        </is>
      </c>
      <c r="D863" t="inlineStr">
        <is>
          <t>Yes</t>
        </is>
      </c>
      <c r="E863" s="8" t="n">
        <v>3617</v>
      </c>
      <c r="F863" s="8">
        <f>E863*Assumptions!$B$7</f>
        <v/>
      </c>
      <c r="G863" s="9" t="n">
        <v>0.02</v>
      </c>
      <c r="H863" t="inlineStr">
        <is>
          <t>Low</t>
        </is>
      </c>
      <c r="I863">
        <f>IF(G863&gt;=Assumptions!$B$4,"Yes","No")</f>
        <v/>
      </c>
      <c r="J863" s="8">
        <f>F863*Assumptions!$B$6</f>
        <v/>
      </c>
      <c r="K863" s="10">
        <f>G863*J863</f>
        <v/>
      </c>
      <c r="L863" s="10">
        <f>IF(I863="Yes",G863*Assumptions!$B$5*J863,0)</f>
        <v/>
      </c>
    </row>
    <row r="864">
      <c r="A864" t="n">
        <v>1701</v>
      </c>
      <c r="B864" t="inlineStr">
        <is>
          <t>Research &amp; Development</t>
        </is>
      </c>
      <c r="C864" t="inlineStr">
        <is>
          <t>Research Scientist</t>
        </is>
      </c>
      <c r="D864" t="inlineStr">
        <is>
          <t>No</t>
        </is>
      </c>
      <c r="E864" s="8" t="n">
        <v>2929</v>
      </c>
      <c r="F864" s="8">
        <f>E864*Assumptions!$B$7</f>
        <v/>
      </c>
      <c r="G864" s="9" t="n">
        <v>0.0199</v>
      </c>
      <c r="H864" t="inlineStr">
        <is>
          <t>Low</t>
        </is>
      </c>
      <c r="I864">
        <f>IF(G864&gt;=Assumptions!$B$4,"Yes","No")</f>
        <v/>
      </c>
      <c r="J864" s="8">
        <f>F864*Assumptions!$B$6</f>
        <v/>
      </c>
      <c r="K864" s="10">
        <f>G864*J864</f>
        <v/>
      </c>
      <c r="L864" s="10">
        <f>IF(I864="Yes",G864*Assumptions!$B$5*J864,0)</f>
        <v/>
      </c>
    </row>
    <row r="865">
      <c r="A865" t="n">
        <v>804</v>
      </c>
      <c r="B865" t="inlineStr">
        <is>
          <t>Research &amp; Development</t>
        </is>
      </c>
      <c r="C865" t="inlineStr">
        <is>
          <t>Research Scientist</t>
        </is>
      </c>
      <c r="D865" t="inlineStr">
        <is>
          <t>No</t>
        </is>
      </c>
      <c r="E865" s="8" t="n">
        <v>4381</v>
      </c>
      <c r="F865" s="8">
        <f>E865*Assumptions!$B$7</f>
        <v/>
      </c>
      <c r="G865" s="9" t="n">
        <v>0.0199</v>
      </c>
      <c r="H865" t="inlineStr">
        <is>
          <t>Low</t>
        </is>
      </c>
      <c r="I865">
        <f>IF(G865&gt;=Assumptions!$B$4,"Yes","No")</f>
        <v/>
      </c>
      <c r="J865" s="8">
        <f>F865*Assumptions!$B$6</f>
        <v/>
      </c>
      <c r="K865" s="10">
        <f>G865*J865</f>
        <v/>
      </c>
      <c r="L865" s="10">
        <f>IF(I865="Yes",G865*Assumptions!$B$5*J865,0)</f>
        <v/>
      </c>
    </row>
    <row r="866">
      <c r="A866" t="n">
        <v>2049</v>
      </c>
      <c r="B866" t="inlineStr">
        <is>
          <t>Research &amp; Development</t>
        </is>
      </c>
      <c r="C866" t="inlineStr">
        <is>
          <t>Healthcare Representative</t>
        </is>
      </c>
      <c r="D866" t="inlineStr">
        <is>
          <t>Yes</t>
        </is>
      </c>
      <c r="E866" s="8" t="n">
        <v>5689</v>
      </c>
      <c r="F866" s="8">
        <f>E866*Assumptions!$B$7</f>
        <v/>
      </c>
      <c r="G866" s="9" t="n">
        <v>0.0198</v>
      </c>
      <c r="H866" t="inlineStr">
        <is>
          <t>Low</t>
        </is>
      </c>
      <c r="I866">
        <f>IF(G866&gt;=Assumptions!$B$4,"Yes","No")</f>
        <v/>
      </c>
      <c r="J866" s="8">
        <f>F866*Assumptions!$B$6</f>
        <v/>
      </c>
      <c r="K866" s="10">
        <f>G866*J866</f>
        <v/>
      </c>
      <c r="L866" s="10">
        <f>IF(I866="Yes",G866*Assumptions!$B$5*J866,0)</f>
        <v/>
      </c>
    </row>
    <row r="867">
      <c r="A867" t="n">
        <v>101</v>
      </c>
      <c r="B867" t="inlineStr">
        <is>
          <t>Research &amp; Development</t>
        </is>
      </c>
      <c r="C867" t="inlineStr">
        <is>
          <t>Research Director</t>
        </is>
      </c>
      <c r="D867" t="inlineStr">
        <is>
          <t>Yes</t>
        </is>
      </c>
      <c r="E867" s="8" t="n">
        <v>13245</v>
      </c>
      <c r="F867" s="8">
        <f>E867*Assumptions!$B$7</f>
        <v/>
      </c>
      <c r="G867" s="9" t="n">
        <v>0.0197</v>
      </c>
      <c r="H867" t="inlineStr">
        <is>
          <t>Low</t>
        </is>
      </c>
      <c r="I867">
        <f>IF(G867&gt;=Assumptions!$B$4,"Yes","No")</f>
        <v/>
      </c>
      <c r="J867" s="8">
        <f>F867*Assumptions!$B$6</f>
        <v/>
      </c>
      <c r="K867" s="10">
        <f>G867*J867</f>
        <v/>
      </c>
      <c r="L867" s="10">
        <f>IF(I867="Yes",G867*Assumptions!$B$5*J867,0)</f>
        <v/>
      </c>
    </row>
    <row r="868">
      <c r="A868" t="n">
        <v>1436</v>
      </c>
      <c r="B868" t="inlineStr">
        <is>
          <t>Sales</t>
        </is>
      </c>
      <c r="C868" t="inlineStr">
        <is>
          <t>Sales Executive</t>
        </is>
      </c>
      <c r="D868" t="inlineStr">
        <is>
          <t>No</t>
        </is>
      </c>
      <c r="E868" s="8" t="n">
        <v>5647</v>
      </c>
      <c r="F868" s="8">
        <f>E868*Assumptions!$B$7</f>
        <v/>
      </c>
      <c r="G868" s="9" t="n">
        <v>0.0197</v>
      </c>
      <c r="H868" t="inlineStr">
        <is>
          <t>Low</t>
        </is>
      </c>
      <c r="I868">
        <f>IF(G868&gt;=Assumptions!$B$4,"Yes","No")</f>
        <v/>
      </c>
      <c r="J868" s="8">
        <f>F868*Assumptions!$B$6</f>
        <v/>
      </c>
      <c r="K868" s="10">
        <f>G868*J868</f>
        <v/>
      </c>
      <c r="L868" s="10">
        <f>IF(I868="Yes",G868*Assumptions!$B$5*J868,0)</f>
        <v/>
      </c>
    </row>
    <row r="869">
      <c r="A869" t="n">
        <v>1479</v>
      </c>
      <c r="B869" t="inlineStr">
        <is>
          <t>Sales</t>
        </is>
      </c>
      <c r="C869" t="inlineStr">
        <is>
          <t>Sales Executive</t>
        </is>
      </c>
      <c r="D869" t="inlineStr">
        <is>
          <t>No</t>
        </is>
      </c>
      <c r="E869" s="8" t="n">
        <v>5301</v>
      </c>
      <c r="F869" s="8">
        <f>E869*Assumptions!$B$7</f>
        <v/>
      </c>
      <c r="G869" s="9" t="n">
        <v>0.0196</v>
      </c>
      <c r="H869" t="inlineStr">
        <is>
          <t>Low</t>
        </is>
      </c>
      <c r="I869">
        <f>IF(G869&gt;=Assumptions!$B$4,"Yes","No")</f>
        <v/>
      </c>
      <c r="J869" s="8">
        <f>F869*Assumptions!$B$6</f>
        <v/>
      </c>
      <c r="K869" s="10">
        <f>G869*J869</f>
        <v/>
      </c>
      <c r="L869" s="10">
        <f>IF(I869="Yes",G869*Assumptions!$B$5*J869,0)</f>
        <v/>
      </c>
    </row>
    <row r="870">
      <c r="A870" t="n">
        <v>309</v>
      </c>
      <c r="B870" t="inlineStr">
        <is>
          <t>Research &amp; Development</t>
        </is>
      </c>
      <c r="C870" t="inlineStr">
        <is>
          <t>Research Scientist</t>
        </is>
      </c>
      <c r="D870" t="inlineStr">
        <is>
          <t>No</t>
        </is>
      </c>
      <c r="E870" s="8" t="n">
        <v>2177</v>
      </c>
      <c r="F870" s="8">
        <f>E870*Assumptions!$B$7</f>
        <v/>
      </c>
      <c r="G870" s="9" t="n">
        <v>0.0195</v>
      </c>
      <c r="H870" t="inlineStr">
        <is>
          <t>Low</t>
        </is>
      </c>
      <c r="I870">
        <f>IF(G870&gt;=Assumptions!$B$4,"Yes","No")</f>
        <v/>
      </c>
      <c r="J870" s="8">
        <f>F870*Assumptions!$B$6</f>
        <v/>
      </c>
      <c r="K870" s="10">
        <f>G870*J870</f>
        <v/>
      </c>
      <c r="L870" s="10">
        <f>IF(I870="Yes",G870*Assumptions!$B$5*J870,0)</f>
        <v/>
      </c>
    </row>
    <row r="871">
      <c r="A871" t="n">
        <v>1006</v>
      </c>
      <c r="B871" t="inlineStr">
        <is>
          <t>Research &amp; Development</t>
        </is>
      </c>
      <c r="C871" t="inlineStr">
        <is>
          <t>Research Scientist</t>
        </is>
      </c>
      <c r="D871" t="inlineStr">
        <is>
          <t>No</t>
        </is>
      </c>
      <c r="E871" s="8" t="n">
        <v>2684</v>
      </c>
      <c r="F871" s="8">
        <f>E871*Assumptions!$B$7</f>
        <v/>
      </c>
      <c r="G871" s="9" t="n">
        <v>0.0194</v>
      </c>
      <c r="H871" t="inlineStr">
        <is>
          <t>Low</t>
        </is>
      </c>
      <c r="I871">
        <f>IF(G871&gt;=Assumptions!$B$4,"Yes","No")</f>
        <v/>
      </c>
      <c r="J871" s="8">
        <f>F871*Assumptions!$B$6</f>
        <v/>
      </c>
      <c r="K871" s="10">
        <f>G871*J871</f>
        <v/>
      </c>
      <c r="L871" s="10">
        <f>IF(I871="Yes",G871*Assumptions!$B$5*J871,0)</f>
        <v/>
      </c>
    </row>
    <row r="872">
      <c r="A872" t="n">
        <v>1237</v>
      </c>
      <c r="B872" t="inlineStr">
        <is>
          <t>Research &amp; Development</t>
        </is>
      </c>
      <c r="C872" t="inlineStr">
        <is>
          <t>Manufacturing Director</t>
        </is>
      </c>
      <c r="D872" t="inlineStr">
        <is>
          <t>Yes</t>
        </is>
      </c>
      <c r="E872" s="8" t="n">
        <v>10252</v>
      </c>
      <c r="F872" s="8">
        <f>E872*Assumptions!$B$7</f>
        <v/>
      </c>
      <c r="G872" s="9" t="n">
        <v>0.0193</v>
      </c>
      <c r="H872" t="inlineStr">
        <is>
          <t>Low</t>
        </is>
      </c>
      <c r="I872">
        <f>IF(G872&gt;=Assumptions!$B$4,"Yes","No")</f>
        <v/>
      </c>
      <c r="J872" s="8">
        <f>F872*Assumptions!$B$6</f>
        <v/>
      </c>
      <c r="K872" s="10">
        <f>G872*J872</f>
        <v/>
      </c>
      <c r="L872" s="10">
        <f>IF(I872="Yes",G872*Assumptions!$B$5*J872,0)</f>
        <v/>
      </c>
    </row>
    <row r="873">
      <c r="A873" t="n">
        <v>851</v>
      </c>
      <c r="B873" t="inlineStr">
        <is>
          <t>Sales</t>
        </is>
      </c>
      <c r="C873" t="inlineStr">
        <is>
          <t>Manager</t>
        </is>
      </c>
      <c r="D873" t="inlineStr">
        <is>
          <t>No</t>
        </is>
      </c>
      <c r="E873" s="8" t="n">
        <v>16307</v>
      </c>
      <c r="F873" s="8">
        <f>E873*Assumptions!$B$7</f>
        <v/>
      </c>
      <c r="G873" s="9" t="n">
        <v>0.0192</v>
      </c>
      <c r="H873" t="inlineStr">
        <is>
          <t>Low</t>
        </is>
      </c>
      <c r="I873">
        <f>IF(G873&gt;=Assumptions!$B$4,"Yes","No")</f>
        <v/>
      </c>
      <c r="J873" s="8">
        <f>F873*Assumptions!$B$6</f>
        <v/>
      </c>
      <c r="K873" s="10">
        <f>G873*J873</f>
        <v/>
      </c>
      <c r="L873" s="10">
        <f>IF(I873="Yes",G873*Assumptions!$B$5*J873,0)</f>
        <v/>
      </c>
    </row>
    <row r="874">
      <c r="A874" t="n">
        <v>423</v>
      </c>
      <c r="B874" t="inlineStr">
        <is>
          <t>Research &amp; Development</t>
        </is>
      </c>
      <c r="C874" t="inlineStr">
        <is>
          <t>Research Scientist</t>
        </is>
      </c>
      <c r="D874" t="inlineStr">
        <is>
          <t>Yes</t>
        </is>
      </c>
      <c r="E874" s="8" t="n">
        <v>4821</v>
      </c>
      <c r="F874" s="8">
        <f>E874*Assumptions!$B$7</f>
        <v/>
      </c>
      <c r="G874" s="9" t="n">
        <v>0.0191</v>
      </c>
      <c r="H874" t="inlineStr">
        <is>
          <t>Low</t>
        </is>
      </c>
      <c r="I874">
        <f>IF(G874&gt;=Assumptions!$B$4,"Yes","No")</f>
        <v/>
      </c>
      <c r="J874" s="8">
        <f>F874*Assumptions!$B$6</f>
        <v/>
      </c>
      <c r="K874" s="10">
        <f>G874*J874</f>
        <v/>
      </c>
      <c r="L874" s="10">
        <f>IF(I874="Yes",G874*Assumptions!$B$5*J874,0)</f>
        <v/>
      </c>
    </row>
    <row r="875">
      <c r="A875" t="n">
        <v>1249</v>
      </c>
      <c r="B875" t="inlineStr">
        <is>
          <t>Research &amp; Development</t>
        </is>
      </c>
      <c r="C875" t="inlineStr">
        <is>
          <t>Research Scientist</t>
        </is>
      </c>
      <c r="D875" t="inlineStr">
        <is>
          <t>No</t>
        </is>
      </c>
      <c r="E875" s="8" t="n">
        <v>3760</v>
      </c>
      <c r="F875" s="8">
        <f>E875*Assumptions!$B$7</f>
        <v/>
      </c>
      <c r="G875" s="9" t="n">
        <v>0.019</v>
      </c>
      <c r="H875" t="inlineStr">
        <is>
          <t>Low</t>
        </is>
      </c>
      <c r="I875">
        <f>IF(G875&gt;=Assumptions!$B$4,"Yes","No")</f>
        <v/>
      </c>
      <c r="J875" s="8">
        <f>F875*Assumptions!$B$6</f>
        <v/>
      </c>
      <c r="K875" s="10">
        <f>G875*J875</f>
        <v/>
      </c>
      <c r="L875" s="10">
        <f>IF(I875="Yes",G875*Assumptions!$B$5*J875,0)</f>
        <v/>
      </c>
    </row>
    <row r="876">
      <c r="A876" t="n">
        <v>1114</v>
      </c>
      <c r="B876" t="inlineStr">
        <is>
          <t>Sales</t>
        </is>
      </c>
      <c r="C876" t="inlineStr">
        <is>
          <t>Sales Executive</t>
        </is>
      </c>
      <c r="D876" t="inlineStr">
        <is>
          <t>No</t>
        </is>
      </c>
      <c r="E876" s="8" t="n">
        <v>4302</v>
      </c>
      <c r="F876" s="8">
        <f>E876*Assumptions!$B$7</f>
        <v/>
      </c>
      <c r="G876" s="9" t="n">
        <v>0.019</v>
      </c>
      <c r="H876" t="inlineStr">
        <is>
          <t>Low</t>
        </is>
      </c>
      <c r="I876">
        <f>IF(G876&gt;=Assumptions!$B$4,"Yes","No")</f>
        <v/>
      </c>
      <c r="J876" s="8">
        <f>F876*Assumptions!$B$6</f>
        <v/>
      </c>
      <c r="K876" s="10">
        <f>G876*J876</f>
        <v/>
      </c>
      <c r="L876" s="10">
        <f>IF(I876="Yes",G876*Assumptions!$B$5*J876,0)</f>
        <v/>
      </c>
    </row>
    <row r="877">
      <c r="A877" t="n">
        <v>468</v>
      </c>
      <c r="B877" t="inlineStr">
        <is>
          <t>Research &amp; Development</t>
        </is>
      </c>
      <c r="C877" t="inlineStr">
        <is>
          <t>Research Director</t>
        </is>
      </c>
      <c r="D877" t="inlineStr">
        <is>
          <t>No</t>
        </is>
      </c>
      <c r="E877" s="8" t="n">
        <v>15992</v>
      </c>
      <c r="F877" s="8">
        <f>E877*Assumptions!$B$7</f>
        <v/>
      </c>
      <c r="G877" s="9" t="n">
        <v>0.0189</v>
      </c>
      <c r="H877" t="inlineStr">
        <is>
          <t>Low</t>
        </is>
      </c>
      <c r="I877">
        <f>IF(G877&gt;=Assumptions!$B$4,"Yes","No")</f>
        <v/>
      </c>
      <c r="J877" s="8">
        <f>F877*Assumptions!$B$6</f>
        <v/>
      </c>
      <c r="K877" s="10">
        <f>G877*J877</f>
        <v/>
      </c>
      <c r="L877" s="10">
        <f>IF(I877="Yes",G877*Assumptions!$B$5*J877,0)</f>
        <v/>
      </c>
    </row>
    <row r="878">
      <c r="A878" t="n">
        <v>1805</v>
      </c>
      <c r="B878" t="inlineStr">
        <is>
          <t>Human Resources</t>
        </is>
      </c>
      <c r="C878" t="inlineStr">
        <is>
          <t>Human Resources</t>
        </is>
      </c>
      <c r="D878" t="inlineStr">
        <is>
          <t>No</t>
        </is>
      </c>
      <c r="E878" s="8" t="n">
        <v>2592</v>
      </c>
      <c r="F878" s="8">
        <f>E878*Assumptions!$B$7</f>
        <v/>
      </c>
      <c r="G878" s="9" t="n">
        <v>0.0189</v>
      </c>
      <c r="H878" t="inlineStr">
        <is>
          <t>Low</t>
        </is>
      </c>
      <c r="I878">
        <f>IF(G878&gt;=Assumptions!$B$4,"Yes","No")</f>
        <v/>
      </c>
      <c r="J878" s="8">
        <f>F878*Assumptions!$B$6</f>
        <v/>
      </c>
      <c r="K878" s="10">
        <f>G878*J878</f>
        <v/>
      </c>
      <c r="L878" s="10">
        <f>IF(I878="Yes",G878*Assumptions!$B$5*J878,0)</f>
        <v/>
      </c>
    </row>
    <row r="879">
      <c r="A879" t="n">
        <v>1635</v>
      </c>
      <c r="B879" t="inlineStr">
        <is>
          <t>Research &amp; Development</t>
        </is>
      </c>
      <c r="C879" t="inlineStr">
        <is>
          <t>Manufacturing Director</t>
        </is>
      </c>
      <c r="D879" t="inlineStr">
        <is>
          <t>No</t>
        </is>
      </c>
      <c r="E879" s="8" t="n">
        <v>5770</v>
      </c>
      <c r="F879" s="8">
        <f>E879*Assumptions!$B$7</f>
        <v/>
      </c>
      <c r="G879" s="9" t="n">
        <v>0.0189</v>
      </c>
      <c r="H879" t="inlineStr">
        <is>
          <t>Low</t>
        </is>
      </c>
      <c r="I879">
        <f>IF(G879&gt;=Assumptions!$B$4,"Yes","No")</f>
        <v/>
      </c>
      <c r="J879" s="8">
        <f>F879*Assumptions!$B$6</f>
        <v/>
      </c>
      <c r="K879" s="10">
        <f>G879*J879</f>
        <v/>
      </c>
      <c r="L879" s="10">
        <f>IF(I879="Yes",G879*Assumptions!$B$5*J879,0)</f>
        <v/>
      </c>
    </row>
    <row r="880">
      <c r="A880" t="n">
        <v>1592</v>
      </c>
      <c r="B880" t="inlineStr">
        <is>
          <t>Research &amp; Development</t>
        </is>
      </c>
      <c r="C880" t="inlineStr">
        <is>
          <t>Research Scientist</t>
        </is>
      </c>
      <c r="D880" t="inlineStr">
        <is>
          <t>No</t>
        </is>
      </c>
      <c r="E880" s="8" t="n">
        <v>2073</v>
      </c>
      <c r="F880" s="8">
        <f>E880*Assumptions!$B$7</f>
        <v/>
      </c>
      <c r="G880" s="9" t="n">
        <v>0.0189</v>
      </c>
      <c r="H880" t="inlineStr">
        <is>
          <t>Low</t>
        </is>
      </c>
      <c r="I880">
        <f>IF(G880&gt;=Assumptions!$B$4,"Yes","No")</f>
        <v/>
      </c>
      <c r="J880" s="8">
        <f>F880*Assumptions!$B$6</f>
        <v/>
      </c>
      <c r="K880" s="10">
        <f>G880*J880</f>
        <v/>
      </c>
      <c r="L880" s="10">
        <f>IF(I880="Yes",G880*Assumptions!$B$5*J880,0)</f>
        <v/>
      </c>
    </row>
    <row r="881">
      <c r="A881" t="n">
        <v>1334</v>
      </c>
      <c r="B881" t="inlineStr">
        <is>
          <t>Research &amp; Development</t>
        </is>
      </c>
      <c r="C881" t="inlineStr">
        <is>
          <t>Manager</t>
        </is>
      </c>
      <c r="D881" t="inlineStr">
        <is>
          <t>Yes</t>
        </is>
      </c>
      <c r="E881" s="8" t="n">
        <v>17861</v>
      </c>
      <c r="F881" s="8">
        <f>E881*Assumptions!$B$7</f>
        <v/>
      </c>
      <c r="G881" s="9" t="n">
        <v>0.0188</v>
      </c>
      <c r="H881" t="inlineStr">
        <is>
          <t>Low</t>
        </is>
      </c>
      <c r="I881">
        <f>IF(G881&gt;=Assumptions!$B$4,"Yes","No")</f>
        <v/>
      </c>
      <c r="J881" s="8">
        <f>F881*Assumptions!$B$6</f>
        <v/>
      </c>
      <c r="K881" s="10">
        <f>G881*J881</f>
        <v/>
      </c>
      <c r="L881" s="10">
        <f>IF(I881="Yes",G881*Assumptions!$B$5*J881,0)</f>
        <v/>
      </c>
    </row>
    <row r="882">
      <c r="A882" t="n">
        <v>1228</v>
      </c>
      <c r="B882" t="inlineStr">
        <is>
          <t>Research &amp; Development</t>
        </is>
      </c>
      <c r="C882" t="inlineStr">
        <is>
          <t>Manufacturing Director</t>
        </is>
      </c>
      <c r="D882" t="inlineStr">
        <is>
          <t>No</t>
        </is>
      </c>
      <c r="E882" s="8" t="n">
        <v>7379</v>
      </c>
      <c r="F882" s="8">
        <f>E882*Assumptions!$B$7</f>
        <v/>
      </c>
      <c r="G882" s="9" t="n">
        <v>0.0188</v>
      </c>
      <c r="H882" t="inlineStr">
        <is>
          <t>Low</t>
        </is>
      </c>
      <c r="I882">
        <f>IF(G882&gt;=Assumptions!$B$4,"Yes","No")</f>
        <v/>
      </c>
      <c r="J882" s="8">
        <f>F882*Assumptions!$B$6</f>
        <v/>
      </c>
      <c r="K882" s="10">
        <f>G882*J882</f>
        <v/>
      </c>
      <c r="L882" s="10">
        <f>IF(I882="Yes",G882*Assumptions!$B$5*J882,0)</f>
        <v/>
      </c>
    </row>
    <row r="883">
      <c r="A883" t="n">
        <v>1133</v>
      </c>
      <c r="B883" t="inlineStr">
        <is>
          <t>Research &amp; Development</t>
        </is>
      </c>
      <c r="C883" t="inlineStr">
        <is>
          <t>Manufacturing Director</t>
        </is>
      </c>
      <c r="D883" t="inlineStr">
        <is>
          <t>No</t>
        </is>
      </c>
      <c r="E883" s="8" t="n">
        <v>7779</v>
      </c>
      <c r="F883" s="8">
        <f>E883*Assumptions!$B$7</f>
        <v/>
      </c>
      <c r="G883" s="9" t="n">
        <v>0.0187</v>
      </c>
      <c r="H883" t="inlineStr">
        <is>
          <t>Low</t>
        </is>
      </c>
      <c r="I883">
        <f>IF(G883&gt;=Assumptions!$B$4,"Yes","No")</f>
        <v/>
      </c>
      <c r="J883" s="8">
        <f>F883*Assumptions!$B$6</f>
        <v/>
      </c>
      <c r="K883" s="10">
        <f>G883*J883</f>
        <v/>
      </c>
      <c r="L883" s="10">
        <f>IF(I883="Yes",G883*Assumptions!$B$5*J883,0)</f>
        <v/>
      </c>
    </row>
    <row r="884">
      <c r="A884" t="n">
        <v>1745</v>
      </c>
      <c r="B884" t="inlineStr">
        <is>
          <t>Research &amp; Development</t>
        </is>
      </c>
      <c r="C884" t="inlineStr">
        <is>
          <t>Research Scientist</t>
        </is>
      </c>
      <c r="D884" t="inlineStr">
        <is>
          <t>No</t>
        </is>
      </c>
      <c r="E884" s="8" t="n">
        <v>4968</v>
      </c>
      <c r="F884" s="8">
        <f>E884*Assumptions!$B$7</f>
        <v/>
      </c>
      <c r="G884" s="9" t="n">
        <v>0.0187</v>
      </c>
      <c r="H884" t="inlineStr">
        <is>
          <t>Low</t>
        </is>
      </c>
      <c r="I884">
        <f>IF(G884&gt;=Assumptions!$B$4,"Yes","No")</f>
        <v/>
      </c>
      <c r="J884" s="8">
        <f>F884*Assumptions!$B$6</f>
        <v/>
      </c>
      <c r="K884" s="10">
        <f>G884*J884</f>
        <v/>
      </c>
      <c r="L884" s="10">
        <f>IF(I884="Yes",G884*Assumptions!$B$5*J884,0)</f>
        <v/>
      </c>
    </row>
    <row r="885">
      <c r="A885" t="n">
        <v>815</v>
      </c>
      <c r="B885" t="inlineStr">
        <is>
          <t>Research &amp; Development</t>
        </is>
      </c>
      <c r="C885" t="inlineStr">
        <is>
          <t>Research Director</t>
        </is>
      </c>
      <c r="D885" t="inlineStr">
        <is>
          <t>No</t>
        </is>
      </c>
      <c r="E885" s="8" t="n">
        <v>17639</v>
      </c>
      <c r="F885" s="8">
        <f>E885*Assumptions!$B$7</f>
        <v/>
      </c>
      <c r="G885" s="9" t="n">
        <v>0.0186</v>
      </c>
      <c r="H885" t="inlineStr">
        <is>
          <t>Low</t>
        </is>
      </c>
      <c r="I885">
        <f>IF(G885&gt;=Assumptions!$B$4,"Yes","No")</f>
        <v/>
      </c>
      <c r="J885" s="8">
        <f>F885*Assumptions!$B$6</f>
        <v/>
      </c>
      <c r="K885" s="10">
        <f>G885*J885</f>
        <v/>
      </c>
      <c r="L885" s="10">
        <f>IF(I885="Yes",G885*Assumptions!$B$5*J885,0)</f>
        <v/>
      </c>
    </row>
    <row r="886">
      <c r="A886" t="n">
        <v>2037</v>
      </c>
      <c r="B886" t="inlineStr">
        <is>
          <t>Sales</t>
        </is>
      </c>
      <c r="C886" t="inlineStr">
        <is>
          <t>Sales Executive</t>
        </is>
      </c>
      <c r="D886" t="inlineStr">
        <is>
          <t>No</t>
        </is>
      </c>
      <c r="E886" s="8" t="n">
        <v>8938</v>
      </c>
      <c r="F886" s="8">
        <f>E886*Assumptions!$B$7</f>
        <v/>
      </c>
      <c r="G886" s="9" t="n">
        <v>0.0185</v>
      </c>
      <c r="H886" t="inlineStr">
        <is>
          <t>Low</t>
        </is>
      </c>
      <c r="I886">
        <f>IF(G886&gt;=Assumptions!$B$4,"Yes","No")</f>
        <v/>
      </c>
      <c r="J886" s="8">
        <f>F886*Assumptions!$B$6</f>
        <v/>
      </c>
      <c r="K886" s="10">
        <f>G886*J886</f>
        <v/>
      </c>
      <c r="L886" s="10">
        <f>IF(I886="Yes",G886*Assumptions!$B$5*J886,0)</f>
        <v/>
      </c>
    </row>
    <row r="887">
      <c r="A887" t="n">
        <v>940</v>
      </c>
      <c r="B887" t="inlineStr">
        <is>
          <t>Research &amp; Development</t>
        </is>
      </c>
      <c r="C887" t="inlineStr">
        <is>
          <t>Healthcare Representative</t>
        </is>
      </c>
      <c r="D887" t="inlineStr">
        <is>
          <t>Yes</t>
        </is>
      </c>
      <c r="E887" s="8" t="n">
        <v>10552</v>
      </c>
      <c r="F887" s="8">
        <f>E887*Assumptions!$B$7</f>
        <v/>
      </c>
      <c r="G887" s="9" t="n">
        <v>0.0185</v>
      </c>
      <c r="H887" t="inlineStr">
        <is>
          <t>Low</t>
        </is>
      </c>
      <c r="I887">
        <f>IF(G887&gt;=Assumptions!$B$4,"Yes","No")</f>
        <v/>
      </c>
      <c r="J887" s="8">
        <f>F887*Assumptions!$B$6</f>
        <v/>
      </c>
      <c r="K887" s="10">
        <f>G887*J887</f>
        <v/>
      </c>
      <c r="L887" s="10">
        <f>IF(I887="Yes",G887*Assumptions!$B$5*J887,0)</f>
        <v/>
      </c>
    </row>
    <row r="888">
      <c r="A888" t="n">
        <v>1544</v>
      </c>
      <c r="B888" t="inlineStr">
        <is>
          <t>Research &amp; Development</t>
        </is>
      </c>
      <c r="C888" t="inlineStr">
        <is>
          <t>Healthcare Representative</t>
        </is>
      </c>
      <c r="D888" t="inlineStr">
        <is>
          <t>No</t>
        </is>
      </c>
      <c r="E888" s="8" t="n">
        <v>9715</v>
      </c>
      <c r="F888" s="8">
        <f>E888*Assumptions!$B$7</f>
        <v/>
      </c>
      <c r="G888" s="9" t="n">
        <v>0.0184</v>
      </c>
      <c r="H888" t="inlineStr">
        <is>
          <t>Low</t>
        </is>
      </c>
      <c r="I888">
        <f>IF(G888&gt;=Assumptions!$B$4,"Yes","No")</f>
        <v/>
      </c>
      <c r="J888" s="8">
        <f>F888*Assumptions!$B$6</f>
        <v/>
      </c>
      <c r="K888" s="10">
        <f>G888*J888</f>
        <v/>
      </c>
      <c r="L888" s="10">
        <f>IF(I888="Yes",G888*Assumptions!$B$5*J888,0)</f>
        <v/>
      </c>
    </row>
    <row r="889">
      <c r="A889" t="n">
        <v>121</v>
      </c>
      <c r="B889" t="inlineStr">
        <is>
          <t>Sales</t>
        </is>
      </c>
      <c r="C889" t="inlineStr">
        <is>
          <t>Sales Executive</t>
        </is>
      </c>
      <c r="D889" t="inlineStr">
        <is>
          <t>Yes</t>
        </is>
      </c>
      <c r="E889" s="8" t="n">
        <v>5209</v>
      </c>
      <c r="F889" s="8">
        <f>E889*Assumptions!$B$7</f>
        <v/>
      </c>
      <c r="G889" s="9" t="n">
        <v>0.0184</v>
      </c>
      <c r="H889" t="inlineStr">
        <is>
          <t>Low</t>
        </is>
      </c>
      <c r="I889">
        <f>IF(G889&gt;=Assumptions!$B$4,"Yes","No")</f>
        <v/>
      </c>
      <c r="J889" s="8">
        <f>F889*Assumptions!$B$6</f>
        <v/>
      </c>
      <c r="K889" s="10">
        <f>G889*J889</f>
        <v/>
      </c>
      <c r="L889" s="10">
        <f>IF(I889="Yes",G889*Assumptions!$B$5*J889,0)</f>
        <v/>
      </c>
    </row>
    <row r="890">
      <c r="A890" t="n">
        <v>1830</v>
      </c>
      <c r="B890" t="inlineStr">
        <is>
          <t>Research &amp; Development</t>
        </is>
      </c>
      <c r="C890" t="inlineStr">
        <is>
          <t>Research Scientist</t>
        </is>
      </c>
      <c r="D890" t="inlineStr">
        <is>
          <t>No</t>
        </is>
      </c>
      <c r="E890" s="8" t="n">
        <v>6854</v>
      </c>
      <c r="F890" s="8">
        <f>E890*Assumptions!$B$7</f>
        <v/>
      </c>
      <c r="G890" s="9" t="n">
        <v>0.0183</v>
      </c>
      <c r="H890" t="inlineStr">
        <is>
          <t>Low</t>
        </is>
      </c>
      <c r="I890">
        <f>IF(G890&gt;=Assumptions!$B$4,"Yes","No")</f>
        <v/>
      </c>
      <c r="J890" s="8">
        <f>F890*Assumptions!$B$6</f>
        <v/>
      </c>
      <c r="K890" s="10">
        <f>G890*J890</f>
        <v/>
      </c>
      <c r="L890" s="10">
        <f>IF(I890="Yes",G890*Assumptions!$B$5*J890,0)</f>
        <v/>
      </c>
    </row>
    <row r="891">
      <c r="A891" t="n">
        <v>70</v>
      </c>
      <c r="B891" t="inlineStr">
        <is>
          <t>Research &amp; Development</t>
        </is>
      </c>
      <c r="C891" t="inlineStr">
        <is>
          <t>Healthcare Representative</t>
        </is>
      </c>
      <c r="D891" t="inlineStr">
        <is>
          <t>Yes</t>
        </is>
      </c>
      <c r="E891" s="8" t="n">
        <v>9884</v>
      </c>
      <c r="F891" s="8">
        <f>E891*Assumptions!$B$7</f>
        <v/>
      </c>
      <c r="G891" s="9" t="n">
        <v>0.0181</v>
      </c>
      <c r="H891" t="inlineStr">
        <is>
          <t>Low</t>
        </is>
      </c>
      <c r="I891">
        <f>IF(G891&gt;=Assumptions!$B$4,"Yes","No")</f>
        <v/>
      </c>
      <c r="J891" s="8">
        <f>F891*Assumptions!$B$6</f>
        <v/>
      </c>
      <c r="K891" s="10">
        <f>G891*J891</f>
        <v/>
      </c>
      <c r="L891" s="10">
        <f>IF(I891="Yes",G891*Assumptions!$B$5*J891,0)</f>
        <v/>
      </c>
    </row>
    <row r="892">
      <c r="A892" t="n">
        <v>1438</v>
      </c>
      <c r="B892" t="inlineStr">
        <is>
          <t>Research &amp; Development</t>
        </is>
      </c>
      <c r="C892" t="inlineStr">
        <is>
          <t>Research Scientist</t>
        </is>
      </c>
      <c r="D892" t="inlineStr">
        <is>
          <t>No</t>
        </is>
      </c>
      <c r="E892" s="8" t="n">
        <v>3420</v>
      </c>
      <c r="F892" s="8">
        <f>E892*Assumptions!$B$7</f>
        <v/>
      </c>
      <c r="G892" s="9" t="n">
        <v>0.0181</v>
      </c>
      <c r="H892" t="inlineStr">
        <is>
          <t>Low</t>
        </is>
      </c>
      <c r="I892">
        <f>IF(G892&gt;=Assumptions!$B$4,"Yes","No")</f>
        <v/>
      </c>
      <c r="J892" s="8">
        <f>F892*Assumptions!$B$6</f>
        <v/>
      </c>
      <c r="K892" s="10">
        <f>G892*J892</f>
        <v/>
      </c>
      <c r="L892" s="10">
        <f>IF(I892="Yes",G892*Assumptions!$B$5*J892,0)</f>
        <v/>
      </c>
    </row>
    <row r="893">
      <c r="A893" t="n">
        <v>924</v>
      </c>
      <c r="B893" t="inlineStr">
        <is>
          <t>Research &amp; Development</t>
        </is>
      </c>
      <c r="C893" t="inlineStr">
        <is>
          <t>Healthcare Representative</t>
        </is>
      </c>
      <c r="D893" t="inlineStr">
        <is>
          <t>Yes</t>
        </is>
      </c>
      <c r="E893" s="8" t="n">
        <v>6586</v>
      </c>
      <c r="F893" s="8">
        <f>E893*Assumptions!$B$7</f>
        <v/>
      </c>
      <c r="G893" s="9" t="n">
        <v>0.018</v>
      </c>
      <c r="H893" t="inlineStr">
        <is>
          <t>Low</t>
        </is>
      </c>
      <c r="I893">
        <f>IF(G893&gt;=Assumptions!$B$4,"Yes","No")</f>
        <v/>
      </c>
      <c r="J893" s="8">
        <f>F893*Assumptions!$B$6</f>
        <v/>
      </c>
      <c r="K893" s="10">
        <f>G893*J893</f>
        <v/>
      </c>
      <c r="L893" s="10">
        <f>IF(I893="Yes",G893*Assumptions!$B$5*J893,0)</f>
        <v/>
      </c>
    </row>
    <row r="894">
      <c r="A894" t="n">
        <v>271</v>
      </c>
      <c r="B894" t="inlineStr">
        <is>
          <t>Research &amp; Development</t>
        </is>
      </c>
      <c r="C894" t="inlineStr">
        <is>
          <t>Manufacturing Director</t>
        </is>
      </c>
      <c r="D894" t="inlineStr">
        <is>
          <t>No</t>
        </is>
      </c>
      <c r="E894" s="8" t="n">
        <v>6553</v>
      </c>
      <c r="F894" s="8">
        <f>E894*Assumptions!$B$7</f>
        <v/>
      </c>
      <c r="G894" s="9" t="n">
        <v>0.0178</v>
      </c>
      <c r="H894" t="inlineStr">
        <is>
          <t>Low</t>
        </is>
      </c>
      <c r="I894">
        <f>IF(G894&gt;=Assumptions!$B$4,"Yes","No")</f>
        <v/>
      </c>
      <c r="J894" s="8">
        <f>F894*Assumptions!$B$6</f>
        <v/>
      </c>
      <c r="K894" s="10">
        <f>G894*J894</f>
        <v/>
      </c>
      <c r="L894" s="10">
        <f>IF(I894="Yes",G894*Assumptions!$B$5*J894,0)</f>
        <v/>
      </c>
    </row>
    <row r="895">
      <c r="A895" t="n">
        <v>469</v>
      </c>
      <c r="B895" t="inlineStr">
        <is>
          <t>Sales</t>
        </is>
      </c>
      <c r="C895" t="inlineStr">
        <is>
          <t>Sales Executive</t>
        </is>
      </c>
      <c r="D895" t="inlineStr">
        <is>
          <t>No</t>
        </is>
      </c>
      <c r="E895" s="8" t="n">
        <v>4649</v>
      </c>
      <c r="F895" s="8">
        <f>E895*Assumptions!$B$7</f>
        <v/>
      </c>
      <c r="G895" s="9" t="n">
        <v>0.0177</v>
      </c>
      <c r="H895" t="inlineStr">
        <is>
          <t>Low</t>
        </is>
      </c>
      <c r="I895">
        <f>IF(G895&gt;=Assumptions!$B$4,"Yes","No")</f>
        <v/>
      </c>
      <c r="J895" s="8">
        <f>F895*Assumptions!$B$6</f>
        <v/>
      </c>
      <c r="K895" s="10">
        <f>G895*J895</f>
        <v/>
      </c>
      <c r="L895" s="10">
        <f>IF(I895="Yes",G895*Assumptions!$B$5*J895,0)</f>
        <v/>
      </c>
    </row>
    <row r="896">
      <c r="A896" t="n">
        <v>208</v>
      </c>
      <c r="B896" t="inlineStr">
        <is>
          <t>Research &amp; Development</t>
        </is>
      </c>
      <c r="C896" t="inlineStr">
        <is>
          <t>Manufacturing Director</t>
        </is>
      </c>
      <c r="D896" t="inlineStr">
        <is>
          <t>No</t>
        </is>
      </c>
      <c r="E896" s="8" t="n">
        <v>4319</v>
      </c>
      <c r="F896" s="8">
        <f>E896*Assumptions!$B$7</f>
        <v/>
      </c>
      <c r="G896" s="9" t="n">
        <v>0.0177</v>
      </c>
      <c r="H896" t="inlineStr">
        <is>
          <t>Low</t>
        </is>
      </c>
      <c r="I896">
        <f>IF(G896&gt;=Assumptions!$B$4,"Yes","No")</f>
        <v/>
      </c>
      <c r="J896" s="8">
        <f>F896*Assumptions!$B$6</f>
        <v/>
      </c>
      <c r="K896" s="10">
        <f>G896*J896</f>
        <v/>
      </c>
      <c r="L896" s="10">
        <f>IF(I896="Yes",G896*Assumptions!$B$5*J896,0)</f>
        <v/>
      </c>
    </row>
    <row r="897">
      <c r="A897" t="n">
        <v>258</v>
      </c>
      <c r="B897" t="inlineStr">
        <is>
          <t>Research &amp; Development</t>
        </is>
      </c>
      <c r="C897" t="inlineStr">
        <is>
          <t>Healthcare Representative</t>
        </is>
      </c>
      <c r="D897" t="inlineStr">
        <is>
          <t>No</t>
        </is>
      </c>
      <c r="E897" s="8" t="n">
        <v>13734</v>
      </c>
      <c r="F897" s="8">
        <f>E897*Assumptions!$B$7</f>
        <v/>
      </c>
      <c r="G897" s="9" t="n">
        <v>0.0177</v>
      </c>
      <c r="H897" t="inlineStr">
        <is>
          <t>Low</t>
        </is>
      </c>
      <c r="I897">
        <f>IF(G897&gt;=Assumptions!$B$4,"Yes","No")</f>
        <v/>
      </c>
      <c r="J897" s="8">
        <f>F897*Assumptions!$B$6</f>
        <v/>
      </c>
      <c r="K897" s="10">
        <f>G897*J897</f>
        <v/>
      </c>
      <c r="L897" s="10">
        <f>IF(I897="Yes",G897*Assumptions!$B$5*J897,0)</f>
        <v/>
      </c>
    </row>
    <row r="898">
      <c r="A898" t="n">
        <v>154</v>
      </c>
      <c r="B898" t="inlineStr">
        <is>
          <t>Sales</t>
        </is>
      </c>
      <c r="C898" t="inlineStr">
        <is>
          <t>Sales Executive</t>
        </is>
      </c>
      <c r="D898" t="inlineStr">
        <is>
          <t>No</t>
        </is>
      </c>
      <c r="E898" s="8" t="n">
        <v>9738</v>
      </c>
      <c r="F898" s="8">
        <f>E898*Assumptions!$B$7</f>
        <v/>
      </c>
      <c r="G898" s="9" t="n">
        <v>0.0176</v>
      </c>
      <c r="H898" t="inlineStr">
        <is>
          <t>Low</t>
        </is>
      </c>
      <c r="I898">
        <f>IF(G898&gt;=Assumptions!$B$4,"Yes","No")</f>
        <v/>
      </c>
      <c r="J898" s="8">
        <f>F898*Assumptions!$B$6</f>
        <v/>
      </c>
      <c r="K898" s="10">
        <f>G898*J898</f>
        <v/>
      </c>
      <c r="L898" s="10">
        <f>IF(I898="Yes",G898*Assumptions!$B$5*J898,0)</f>
        <v/>
      </c>
    </row>
    <row r="899">
      <c r="A899" t="n">
        <v>1719</v>
      </c>
      <c r="B899" t="inlineStr">
        <is>
          <t>Research &amp; Development</t>
        </is>
      </c>
      <c r="C899" t="inlineStr">
        <is>
          <t>Research Director</t>
        </is>
      </c>
      <c r="D899" t="inlineStr">
        <is>
          <t>No</t>
        </is>
      </c>
      <c r="E899" s="8" t="n">
        <v>16704</v>
      </c>
      <c r="F899" s="8">
        <f>E899*Assumptions!$B$7</f>
        <v/>
      </c>
      <c r="G899" s="9" t="n">
        <v>0.0176</v>
      </c>
      <c r="H899" t="inlineStr">
        <is>
          <t>Low</t>
        </is>
      </c>
      <c r="I899">
        <f>IF(G899&gt;=Assumptions!$B$4,"Yes","No")</f>
        <v/>
      </c>
      <c r="J899" s="8">
        <f>F899*Assumptions!$B$6</f>
        <v/>
      </c>
      <c r="K899" s="10">
        <f>G899*J899</f>
        <v/>
      </c>
      <c r="L899" s="10">
        <f>IF(I899="Yes",G899*Assumptions!$B$5*J899,0)</f>
        <v/>
      </c>
    </row>
    <row r="900">
      <c r="A900" t="n">
        <v>951</v>
      </c>
      <c r="B900" t="inlineStr">
        <is>
          <t>Research &amp; Development</t>
        </is>
      </c>
      <c r="C900" t="inlineStr">
        <is>
          <t>Laboratory Technician</t>
        </is>
      </c>
      <c r="D900" t="inlineStr">
        <is>
          <t>No</t>
        </is>
      </c>
      <c r="E900" s="8" t="n">
        <v>2332</v>
      </c>
      <c r="F900" s="8">
        <f>E900*Assumptions!$B$7</f>
        <v/>
      </c>
      <c r="G900" s="9" t="n">
        <v>0.0176</v>
      </c>
      <c r="H900" t="inlineStr">
        <is>
          <t>Low</t>
        </is>
      </c>
      <c r="I900">
        <f>IF(G900&gt;=Assumptions!$B$4,"Yes","No")</f>
        <v/>
      </c>
      <c r="J900" s="8">
        <f>F900*Assumptions!$B$6</f>
        <v/>
      </c>
      <c r="K900" s="10">
        <f>G900*J900</f>
        <v/>
      </c>
      <c r="L900" s="10">
        <f>IF(I900="Yes",G900*Assumptions!$B$5*J900,0)</f>
        <v/>
      </c>
    </row>
    <row r="901">
      <c r="A901" t="n">
        <v>1802</v>
      </c>
      <c r="B901" t="inlineStr">
        <is>
          <t>Research &amp; Development</t>
        </is>
      </c>
      <c r="C901" t="inlineStr">
        <is>
          <t>Laboratory Technician</t>
        </is>
      </c>
      <c r="D901" t="inlineStr">
        <is>
          <t>No</t>
        </is>
      </c>
      <c r="E901" s="8" t="n">
        <v>3377</v>
      </c>
      <c r="F901" s="8">
        <f>E901*Assumptions!$B$7</f>
        <v/>
      </c>
      <c r="G901" s="9" t="n">
        <v>0.0175</v>
      </c>
      <c r="H901" t="inlineStr">
        <is>
          <t>Low</t>
        </is>
      </c>
      <c r="I901">
        <f>IF(G901&gt;=Assumptions!$B$4,"Yes","No")</f>
        <v/>
      </c>
      <c r="J901" s="8">
        <f>F901*Assumptions!$B$6</f>
        <v/>
      </c>
      <c r="K901" s="10">
        <f>G901*J901</f>
        <v/>
      </c>
      <c r="L901" s="10">
        <f>IF(I901="Yes",G901*Assumptions!$B$5*J901,0)</f>
        <v/>
      </c>
    </row>
    <row r="902">
      <c r="A902" t="n">
        <v>1460</v>
      </c>
      <c r="B902" t="inlineStr">
        <is>
          <t>Research &amp; Development</t>
        </is>
      </c>
      <c r="C902" t="inlineStr">
        <is>
          <t>Healthcare Representative</t>
        </is>
      </c>
      <c r="D902" t="inlineStr">
        <is>
          <t>Yes</t>
        </is>
      </c>
      <c r="E902" s="8" t="n">
        <v>10851</v>
      </c>
      <c r="F902" s="8">
        <f>E902*Assumptions!$B$7</f>
        <v/>
      </c>
      <c r="G902" s="9" t="n">
        <v>0.0174</v>
      </c>
      <c r="H902" t="inlineStr">
        <is>
          <t>Low</t>
        </is>
      </c>
      <c r="I902">
        <f>IF(G902&gt;=Assumptions!$B$4,"Yes","No")</f>
        <v/>
      </c>
      <c r="J902" s="8">
        <f>F902*Assumptions!$B$6</f>
        <v/>
      </c>
      <c r="K902" s="10">
        <f>G902*J902</f>
        <v/>
      </c>
      <c r="L902" s="10">
        <f>IF(I902="Yes",G902*Assumptions!$B$5*J902,0)</f>
        <v/>
      </c>
    </row>
    <row r="903">
      <c r="A903" t="n">
        <v>671</v>
      </c>
      <c r="B903" t="inlineStr">
        <is>
          <t>Research &amp; Development</t>
        </is>
      </c>
      <c r="C903" t="inlineStr">
        <is>
          <t>Manager</t>
        </is>
      </c>
      <c r="D903" t="inlineStr">
        <is>
          <t>Yes</t>
        </is>
      </c>
      <c r="E903" s="8" t="n">
        <v>19513</v>
      </c>
      <c r="F903" s="8">
        <f>E903*Assumptions!$B$7</f>
        <v/>
      </c>
      <c r="G903" s="9" t="n">
        <v>0.0174</v>
      </c>
      <c r="H903" t="inlineStr">
        <is>
          <t>Low</t>
        </is>
      </c>
      <c r="I903">
        <f>IF(G903&gt;=Assumptions!$B$4,"Yes","No")</f>
        <v/>
      </c>
      <c r="J903" s="8">
        <f>F903*Assumptions!$B$6</f>
        <v/>
      </c>
      <c r="K903" s="10">
        <f>G903*J903</f>
        <v/>
      </c>
      <c r="L903" s="10">
        <f>IF(I903="Yes",G903*Assumptions!$B$5*J903,0)</f>
        <v/>
      </c>
    </row>
    <row r="904">
      <c r="A904" t="n">
        <v>105</v>
      </c>
      <c r="B904" t="inlineStr">
        <is>
          <t>Research &amp; Development</t>
        </is>
      </c>
      <c r="C904" t="inlineStr">
        <is>
          <t>Research Scientist</t>
        </is>
      </c>
      <c r="D904" t="inlineStr">
        <is>
          <t>No</t>
        </is>
      </c>
      <c r="E904" s="8" t="n">
        <v>2859</v>
      </c>
      <c r="F904" s="8">
        <f>E904*Assumptions!$B$7</f>
        <v/>
      </c>
      <c r="G904" s="9" t="n">
        <v>0.0174</v>
      </c>
      <c r="H904" t="inlineStr">
        <is>
          <t>Low</t>
        </is>
      </c>
      <c r="I904">
        <f>IF(G904&gt;=Assumptions!$B$4,"Yes","No")</f>
        <v/>
      </c>
      <c r="J904" s="8">
        <f>F904*Assumptions!$B$6</f>
        <v/>
      </c>
      <c r="K904" s="10">
        <f>G904*J904</f>
        <v/>
      </c>
      <c r="L904" s="10">
        <f>IF(I904="Yes",G904*Assumptions!$B$5*J904,0)</f>
        <v/>
      </c>
    </row>
    <row r="905">
      <c r="A905" t="n">
        <v>521</v>
      </c>
      <c r="B905" t="inlineStr">
        <is>
          <t>Research &amp; Development</t>
        </is>
      </c>
      <c r="C905" t="inlineStr">
        <is>
          <t>Laboratory Technician</t>
        </is>
      </c>
      <c r="D905" t="inlineStr">
        <is>
          <t>No</t>
        </is>
      </c>
      <c r="E905" s="8" t="n">
        <v>3448</v>
      </c>
      <c r="F905" s="8">
        <f>E905*Assumptions!$B$7</f>
        <v/>
      </c>
      <c r="G905" s="9" t="n">
        <v>0.0174</v>
      </c>
      <c r="H905" t="inlineStr">
        <is>
          <t>Low</t>
        </is>
      </c>
      <c r="I905">
        <f>IF(G905&gt;=Assumptions!$B$4,"Yes","No")</f>
        <v/>
      </c>
      <c r="J905" s="8">
        <f>F905*Assumptions!$B$6</f>
        <v/>
      </c>
      <c r="K905" s="10">
        <f>G905*J905</f>
        <v/>
      </c>
      <c r="L905" s="10">
        <f>IF(I905="Yes",G905*Assumptions!$B$5*J905,0)</f>
        <v/>
      </c>
    </row>
    <row r="906">
      <c r="A906" t="n">
        <v>1823</v>
      </c>
      <c r="B906" t="inlineStr">
        <is>
          <t>Sales</t>
        </is>
      </c>
      <c r="C906" t="inlineStr">
        <is>
          <t>Sales Executive</t>
        </is>
      </c>
      <c r="D906" t="inlineStr">
        <is>
          <t>No</t>
        </is>
      </c>
      <c r="E906" s="8" t="n">
        <v>6799</v>
      </c>
      <c r="F906" s="8">
        <f>E906*Assumptions!$B$7</f>
        <v/>
      </c>
      <c r="G906" s="9" t="n">
        <v>0.0173</v>
      </c>
      <c r="H906" t="inlineStr">
        <is>
          <t>Low</t>
        </is>
      </c>
      <c r="I906">
        <f>IF(G906&gt;=Assumptions!$B$4,"Yes","No")</f>
        <v/>
      </c>
      <c r="J906" s="8">
        <f>F906*Assumptions!$B$6</f>
        <v/>
      </c>
      <c r="K906" s="10">
        <f>G906*J906</f>
        <v/>
      </c>
      <c r="L906" s="10">
        <f>IF(I906="Yes",G906*Assumptions!$B$5*J906,0)</f>
        <v/>
      </c>
    </row>
    <row r="907">
      <c r="A907" t="n">
        <v>1989</v>
      </c>
      <c r="B907" t="inlineStr">
        <is>
          <t>Research &amp; Development</t>
        </is>
      </c>
      <c r="C907" t="inlineStr">
        <is>
          <t>Laboratory Technician</t>
        </is>
      </c>
      <c r="D907" t="inlineStr">
        <is>
          <t>No</t>
        </is>
      </c>
      <c r="E907" s="8" t="n">
        <v>3748</v>
      </c>
      <c r="F907" s="8">
        <f>E907*Assumptions!$B$7</f>
        <v/>
      </c>
      <c r="G907" s="9" t="n">
        <v>0.0173</v>
      </c>
      <c r="H907" t="inlineStr">
        <is>
          <t>Low</t>
        </is>
      </c>
      <c r="I907">
        <f>IF(G907&gt;=Assumptions!$B$4,"Yes","No")</f>
        <v/>
      </c>
      <c r="J907" s="8">
        <f>F907*Assumptions!$B$6</f>
        <v/>
      </c>
      <c r="K907" s="10">
        <f>G907*J907</f>
        <v/>
      </c>
      <c r="L907" s="10">
        <f>IF(I907="Yes",G907*Assumptions!$B$5*J907,0)</f>
        <v/>
      </c>
    </row>
    <row r="908">
      <c r="A908" t="n">
        <v>241</v>
      </c>
      <c r="B908" t="inlineStr">
        <is>
          <t>Research &amp; Development</t>
        </is>
      </c>
      <c r="C908" t="inlineStr">
        <is>
          <t>Research Scientist</t>
        </is>
      </c>
      <c r="D908" t="inlineStr">
        <is>
          <t>Yes</t>
        </is>
      </c>
      <c r="E908" s="8" t="n">
        <v>4257</v>
      </c>
      <c r="F908" s="8">
        <f>E908*Assumptions!$B$7</f>
        <v/>
      </c>
      <c r="G908" s="9" t="n">
        <v>0.0172</v>
      </c>
      <c r="H908" t="inlineStr">
        <is>
          <t>Low</t>
        </is>
      </c>
      <c r="I908">
        <f>IF(G908&gt;=Assumptions!$B$4,"Yes","No")</f>
        <v/>
      </c>
      <c r="J908" s="8">
        <f>F908*Assumptions!$B$6</f>
        <v/>
      </c>
      <c r="K908" s="10">
        <f>G908*J908</f>
        <v/>
      </c>
      <c r="L908" s="10">
        <f>IF(I908="Yes",G908*Assumptions!$B$5*J908,0)</f>
        <v/>
      </c>
    </row>
    <row r="909">
      <c r="A909" t="n">
        <v>456</v>
      </c>
      <c r="B909" t="inlineStr">
        <is>
          <t>Sales</t>
        </is>
      </c>
      <c r="C909" t="inlineStr">
        <is>
          <t>Sales Executive</t>
        </is>
      </c>
      <c r="D909" t="inlineStr">
        <is>
          <t>No</t>
        </is>
      </c>
      <c r="E909" s="8" t="n">
        <v>6118</v>
      </c>
      <c r="F909" s="8">
        <f>E909*Assumptions!$B$7</f>
        <v/>
      </c>
      <c r="G909" s="9" t="n">
        <v>0.0171</v>
      </c>
      <c r="H909" t="inlineStr">
        <is>
          <t>Low</t>
        </is>
      </c>
      <c r="I909">
        <f>IF(G909&gt;=Assumptions!$B$4,"Yes","No")</f>
        <v/>
      </c>
      <c r="J909" s="8">
        <f>F909*Assumptions!$B$6</f>
        <v/>
      </c>
      <c r="K909" s="10">
        <f>G909*J909</f>
        <v/>
      </c>
      <c r="L909" s="10">
        <f>IF(I909="Yes",G909*Assumptions!$B$5*J909,0)</f>
        <v/>
      </c>
    </row>
    <row r="910">
      <c r="A910" t="n">
        <v>1676</v>
      </c>
      <c r="B910" t="inlineStr">
        <is>
          <t>Sales</t>
        </is>
      </c>
      <c r="C910" t="inlineStr">
        <is>
          <t>Manager</t>
        </is>
      </c>
      <c r="D910" t="inlineStr">
        <is>
          <t>No</t>
        </is>
      </c>
      <c r="E910" s="8" t="n">
        <v>15972</v>
      </c>
      <c r="F910" s="8">
        <f>E910*Assumptions!$B$7</f>
        <v/>
      </c>
      <c r="G910" s="9" t="n">
        <v>0.017</v>
      </c>
      <c r="H910" t="inlineStr">
        <is>
          <t>Low</t>
        </is>
      </c>
      <c r="I910">
        <f>IF(G910&gt;=Assumptions!$B$4,"Yes","No")</f>
        <v/>
      </c>
      <c r="J910" s="8">
        <f>F910*Assumptions!$B$6</f>
        <v/>
      </c>
      <c r="K910" s="10">
        <f>G910*J910</f>
        <v/>
      </c>
      <c r="L910" s="10">
        <f>IF(I910="Yes",G910*Assumptions!$B$5*J910,0)</f>
        <v/>
      </c>
    </row>
    <row r="911">
      <c r="A911" t="n">
        <v>625</v>
      </c>
      <c r="B911" t="inlineStr">
        <is>
          <t>Sales</t>
        </is>
      </c>
      <c r="C911" t="inlineStr">
        <is>
          <t>Manager</t>
        </is>
      </c>
      <c r="D911" t="inlineStr">
        <is>
          <t>No</t>
        </is>
      </c>
      <c r="E911" s="8" t="n">
        <v>16595</v>
      </c>
      <c r="F911" s="8">
        <f>E911*Assumptions!$B$7</f>
        <v/>
      </c>
      <c r="G911" s="9" t="n">
        <v>0.017</v>
      </c>
      <c r="H911" t="inlineStr">
        <is>
          <t>Low</t>
        </is>
      </c>
      <c r="I911">
        <f>IF(G911&gt;=Assumptions!$B$4,"Yes","No")</f>
        <v/>
      </c>
      <c r="J911" s="8">
        <f>F911*Assumptions!$B$6</f>
        <v/>
      </c>
      <c r="K911" s="10">
        <f>G911*J911</f>
        <v/>
      </c>
      <c r="L911" s="10">
        <f>IF(I911="Yes",G911*Assumptions!$B$5*J911,0)</f>
        <v/>
      </c>
    </row>
    <row r="912">
      <c r="A912" t="n">
        <v>990</v>
      </c>
      <c r="B912" t="inlineStr">
        <is>
          <t>Sales</t>
        </is>
      </c>
      <c r="C912" t="inlineStr">
        <is>
          <t>Sales Executive</t>
        </is>
      </c>
      <c r="D912" t="inlineStr">
        <is>
          <t>No</t>
        </is>
      </c>
      <c r="E912" s="8" t="n">
        <v>5079</v>
      </c>
      <c r="F912" s="8">
        <f>E912*Assumptions!$B$7</f>
        <v/>
      </c>
      <c r="G912" s="9" t="n">
        <v>0.017</v>
      </c>
      <c r="H912" t="inlineStr">
        <is>
          <t>Low</t>
        </is>
      </c>
      <c r="I912">
        <f>IF(G912&gt;=Assumptions!$B$4,"Yes","No")</f>
        <v/>
      </c>
      <c r="J912" s="8">
        <f>F912*Assumptions!$B$6</f>
        <v/>
      </c>
      <c r="K912" s="10">
        <f>G912*J912</f>
        <v/>
      </c>
      <c r="L912" s="10">
        <f>IF(I912="Yes",G912*Assumptions!$B$5*J912,0)</f>
        <v/>
      </c>
    </row>
    <row r="913">
      <c r="A913" t="n">
        <v>417</v>
      </c>
      <c r="B913" t="inlineStr">
        <is>
          <t>Research &amp; Development</t>
        </is>
      </c>
      <c r="C913" t="inlineStr">
        <is>
          <t>Healthcare Representative</t>
        </is>
      </c>
      <c r="D913" t="inlineStr">
        <is>
          <t>No</t>
        </is>
      </c>
      <c r="E913" s="8" t="n">
        <v>9613</v>
      </c>
      <c r="F913" s="8">
        <f>E913*Assumptions!$B$7</f>
        <v/>
      </c>
      <c r="G913" s="9" t="n">
        <v>0.017</v>
      </c>
      <c r="H913" t="inlineStr">
        <is>
          <t>Low</t>
        </is>
      </c>
      <c r="I913">
        <f>IF(G913&gt;=Assumptions!$B$4,"Yes","No")</f>
        <v/>
      </c>
      <c r="J913" s="8">
        <f>F913*Assumptions!$B$6</f>
        <v/>
      </c>
      <c r="K913" s="10">
        <f>G913*J913</f>
        <v/>
      </c>
      <c r="L913" s="10">
        <f>IF(I913="Yes",G913*Assumptions!$B$5*J913,0)</f>
        <v/>
      </c>
    </row>
    <row r="914">
      <c r="A914" t="n">
        <v>905</v>
      </c>
      <c r="B914" t="inlineStr">
        <is>
          <t>Research &amp; Development</t>
        </is>
      </c>
      <c r="C914" t="inlineStr">
        <is>
          <t>Manager</t>
        </is>
      </c>
      <c r="D914" t="inlineStr">
        <is>
          <t>No</t>
        </is>
      </c>
      <c r="E914" s="8" t="n">
        <v>17924</v>
      </c>
      <c r="F914" s="8">
        <f>E914*Assumptions!$B$7</f>
        <v/>
      </c>
      <c r="G914" s="9" t="n">
        <v>0.0169</v>
      </c>
      <c r="H914" t="inlineStr">
        <is>
          <t>Low</t>
        </is>
      </c>
      <c r="I914">
        <f>IF(G914&gt;=Assumptions!$B$4,"Yes","No")</f>
        <v/>
      </c>
      <c r="J914" s="8">
        <f>F914*Assumptions!$B$6</f>
        <v/>
      </c>
      <c r="K914" s="10">
        <f>G914*J914</f>
        <v/>
      </c>
      <c r="L914" s="10">
        <f>IF(I914="Yes",G914*Assumptions!$B$5*J914,0)</f>
        <v/>
      </c>
    </row>
    <row r="915">
      <c r="A915" t="n">
        <v>1938</v>
      </c>
      <c r="B915" t="inlineStr">
        <is>
          <t>Sales</t>
        </is>
      </c>
      <c r="C915" t="inlineStr">
        <is>
          <t>Manager</t>
        </is>
      </c>
      <c r="D915" t="inlineStr">
        <is>
          <t>Yes</t>
        </is>
      </c>
      <c r="E915" s="8" t="n">
        <v>17875</v>
      </c>
      <c r="F915" s="8">
        <f>E915*Assumptions!$B$7</f>
        <v/>
      </c>
      <c r="G915" s="9" t="n">
        <v>0.0169</v>
      </c>
      <c r="H915" t="inlineStr">
        <is>
          <t>Low</t>
        </is>
      </c>
      <c r="I915">
        <f>IF(G915&gt;=Assumptions!$B$4,"Yes","No")</f>
        <v/>
      </c>
      <c r="J915" s="8">
        <f>F915*Assumptions!$B$6</f>
        <v/>
      </c>
      <c r="K915" s="10">
        <f>G915*J915</f>
        <v/>
      </c>
      <c r="L915" s="10">
        <f>IF(I915="Yes",G915*Assumptions!$B$5*J915,0)</f>
        <v/>
      </c>
    </row>
    <row r="916">
      <c r="A916" t="n">
        <v>727</v>
      </c>
      <c r="B916" t="inlineStr">
        <is>
          <t>Research &amp; Development</t>
        </is>
      </c>
      <c r="C916" t="inlineStr">
        <is>
          <t>Research Director</t>
        </is>
      </c>
      <c r="D916" t="inlineStr">
        <is>
          <t>No</t>
        </is>
      </c>
      <c r="E916" s="8" t="n">
        <v>11159</v>
      </c>
      <c r="F916" s="8">
        <f>E916*Assumptions!$B$7</f>
        <v/>
      </c>
      <c r="G916" s="9" t="n">
        <v>0.0168</v>
      </c>
      <c r="H916" t="inlineStr">
        <is>
          <t>Low</t>
        </is>
      </c>
      <c r="I916">
        <f>IF(G916&gt;=Assumptions!$B$4,"Yes","No")</f>
        <v/>
      </c>
      <c r="J916" s="8">
        <f>F916*Assumptions!$B$6</f>
        <v/>
      </c>
      <c r="K916" s="10">
        <f>G916*J916</f>
        <v/>
      </c>
      <c r="L916" s="10">
        <f>IF(I916="Yes",G916*Assumptions!$B$5*J916,0)</f>
        <v/>
      </c>
    </row>
    <row r="917">
      <c r="A917" t="n">
        <v>560</v>
      </c>
      <c r="B917" t="inlineStr">
        <is>
          <t>Research &amp; Development</t>
        </is>
      </c>
      <c r="C917" t="inlineStr">
        <is>
          <t>Research Scientist</t>
        </is>
      </c>
      <c r="D917" t="inlineStr">
        <is>
          <t>No</t>
        </is>
      </c>
      <c r="E917" s="8" t="n">
        <v>2886</v>
      </c>
      <c r="F917" s="8">
        <f>E917*Assumptions!$B$7</f>
        <v/>
      </c>
      <c r="G917" s="9" t="n">
        <v>0.0166</v>
      </c>
      <c r="H917" t="inlineStr">
        <is>
          <t>Low</t>
        </is>
      </c>
      <c r="I917">
        <f>IF(G917&gt;=Assumptions!$B$4,"Yes","No")</f>
        <v/>
      </c>
      <c r="J917" s="8">
        <f>F917*Assumptions!$B$6</f>
        <v/>
      </c>
      <c r="K917" s="10">
        <f>G917*J917</f>
        <v/>
      </c>
      <c r="L917" s="10">
        <f>IF(I917="Yes",G917*Assumptions!$B$5*J917,0)</f>
        <v/>
      </c>
    </row>
    <row r="918">
      <c r="A918" t="n">
        <v>1096</v>
      </c>
      <c r="B918" t="inlineStr">
        <is>
          <t>Research &amp; Development</t>
        </is>
      </c>
      <c r="C918" t="inlineStr">
        <is>
          <t>Manufacturing Director</t>
        </is>
      </c>
      <c r="D918" t="inlineStr">
        <is>
          <t>No</t>
        </is>
      </c>
      <c r="E918" s="8" t="n">
        <v>10976</v>
      </c>
      <c r="F918" s="8">
        <f>E918*Assumptions!$B$7</f>
        <v/>
      </c>
      <c r="G918" s="9" t="n">
        <v>0.0166</v>
      </c>
      <c r="H918" t="inlineStr">
        <is>
          <t>Low</t>
        </is>
      </c>
      <c r="I918">
        <f>IF(G918&gt;=Assumptions!$B$4,"Yes","No")</f>
        <v/>
      </c>
      <c r="J918" s="8">
        <f>F918*Assumptions!$B$6</f>
        <v/>
      </c>
      <c r="K918" s="10">
        <f>G918*J918</f>
        <v/>
      </c>
      <c r="L918" s="10">
        <f>IF(I918="Yes",G918*Assumptions!$B$5*J918,0)</f>
        <v/>
      </c>
    </row>
    <row r="919">
      <c r="A919" t="n">
        <v>385</v>
      </c>
      <c r="B919" t="inlineStr">
        <is>
          <t>Research &amp; Development</t>
        </is>
      </c>
      <c r="C919" t="inlineStr">
        <is>
          <t>Research Director</t>
        </is>
      </c>
      <c r="D919" t="inlineStr">
        <is>
          <t>No</t>
        </is>
      </c>
      <c r="E919" s="8" t="n">
        <v>19144</v>
      </c>
      <c r="F919" s="8">
        <f>E919*Assumptions!$B$7</f>
        <v/>
      </c>
      <c r="G919" s="9" t="n">
        <v>0.0166</v>
      </c>
      <c r="H919" t="inlineStr">
        <is>
          <t>Low</t>
        </is>
      </c>
      <c r="I919">
        <f>IF(G919&gt;=Assumptions!$B$4,"Yes","No")</f>
        <v/>
      </c>
      <c r="J919" s="8">
        <f>F919*Assumptions!$B$6</f>
        <v/>
      </c>
      <c r="K919" s="10">
        <f>G919*J919</f>
        <v/>
      </c>
      <c r="L919" s="10">
        <f>IF(I919="Yes",G919*Assumptions!$B$5*J919,0)</f>
        <v/>
      </c>
    </row>
    <row r="920">
      <c r="A920" t="n">
        <v>836</v>
      </c>
      <c r="B920" t="inlineStr">
        <is>
          <t>Research &amp; Development</t>
        </is>
      </c>
      <c r="C920" t="inlineStr">
        <is>
          <t>Manufacturing Director</t>
        </is>
      </c>
      <c r="D920" t="inlineStr">
        <is>
          <t>No</t>
        </is>
      </c>
      <c r="E920" s="8" t="n">
        <v>4434</v>
      </c>
      <c r="F920" s="8">
        <f>E920*Assumptions!$B$7</f>
        <v/>
      </c>
      <c r="G920" s="9" t="n">
        <v>0.0165</v>
      </c>
      <c r="H920" t="inlineStr">
        <is>
          <t>Low</t>
        </is>
      </c>
      <c r="I920">
        <f>IF(G920&gt;=Assumptions!$B$4,"Yes","No")</f>
        <v/>
      </c>
      <c r="J920" s="8">
        <f>F920*Assumptions!$B$6</f>
        <v/>
      </c>
      <c r="K920" s="10">
        <f>G920*J920</f>
        <v/>
      </c>
      <c r="L920" s="10">
        <f>IF(I920="Yes",G920*Assumptions!$B$5*J920,0)</f>
        <v/>
      </c>
    </row>
    <row r="921">
      <c r="A921" t="n">
        <v>649</v>
      </c>
      <c r="B921" t="inlineStr">
        <is>
          <t>Research &amp; Development</t>
        </is>
      </c>
      <c r="C921" t="inlineStr">
        <is>
          <t>Research Scientist</t>
        </is>
      </c>
      <c r="D921" t="inlineStr">
        <is>
          <t>Yes</t>
        </is>
      </c>
      <c r="E921" s="8" t="n">
        <v>3622</v>
      </c>
      <c r="F921" s="8">
        <f>E921*Assumptions!$B$7</f>
        <v/>
      </c>
      <c r="G921" s="9" t="n">
        <v>0.0165</v>
      </c>
      <c r="H921" t="inlineStr">
        <is>
          <t>Low</t>
        </is>
      </c>
      <c r="I921">
        <f>IF(G921&gt;=Assumptions!$B$4,"Yes","No")</f>
        <v/>
      </c>
      <c r="J921" s="8">
        <f>F921*Assumptions!$B$6</f>
        <v/>
      </c>
      <c r="K921" s="10">
        <f>G921*J921</f>
        <v/>
      </c>
      <c r="L921" s="10">
        <f>IF(I921="Yes",G921*Assumptions!$B$5*J921,0)</f>
        <v/>
      </c>
    </row>
    <row r="922">
      <c r="A922" t="n">
        <v>731</v>
      </c>
      <c r="B922" t="inlineStr">
        <is>
          <t>Human Resources</t>
        </is>
      </c>
      <c r="C922" t="inlineStr">
        <is>
          <t>Manager</t>
        </is>
      </c>
      <c r="D922" t="inlineStr">
        <is>
          <t>No</t>
        </is>
      </c>
      <c r="E922" s="8" t="n">
        <v>19141</v>
      </c>
      <c r="F922" s="8">
        <f>E922*Assumptions!$B$7</f>
        <v/>
      </c>
      <c r="G922" s="9" t="n">
        <v>0.0164</v>
      </c>
      <c r="H922" t="inlineStr">
        <is>
          <t>Low</t>
        </is>
      </c>
      <c r="I922">
        <f>IF(G922&gt;=Assumptions!$B$4,"Yes","No")</f>
        <v/>
      </c>
      <c r="J922" s="8">
        <f>F922*Assumptions!$B$6</f>
        <v/>
      </c>
      <c r="K922" s="10">
        <f>G922*J922</f>
        <v/>
      </c>
      <c r="L922" s="10">
        <f>IF(I922="Yes",G922*Assumptions!$B$5*J922,0)</f>
        <v/>
      </c>
    </row>
    <row r="923">
      <c r="A923" t="n">
        <v>1863</v>
      </c>
      <c r="B923" t="inlineStr">
        <is>
          <t>Sales</t>
        </is>
      </c>
      <c r="C923" t="inlineStr">
        <is>
          <t>Sales Executive</t>
        </is>
      </c>
      <c r="D923" t="inlineStr">
        <is>
          <t>No</t>
        </is>
      </c>
      <c r="E923" s="8" t="n">
        <v>13225</v>
      </c>
      <c r="F923" s="8">
        <f>E923*Assumptions!$B$7</f>
        <v/>
      </c>
      <c r="G923" s="9" t="n">
        <v>0.0164</v>
      </c>
      <c r="H923" t="inlineStr">
        <is>
          <t>Low</t>
        </is>
      </c>
      <c r="I923">
        <f>IF(G923&gt;=Assumptions!$B$4,"Yes","No")</f>
        <v/>
      </c>
      <c r="J923" s="8">
        <f>F923*Assumptions!$B$6</f>
        <v/>
      </c>
      <c r="K923" s="10">
        <f>G923*J923</f>
        <v/>
      </c>
      <c r="L923" s="10">
        <f>IF(I923="Yes",G923*Assumptions!$B$5*J923,0)</f>
        <v/>
      </c>
    </row>
    <row r="924">
      <c r="A924" t="n">
        <v>1184</v>
      </c>
      <c r="B924" t="inlineStr">
        <is>
          <t>Research &amp; Development</t>
        </is>
      </c>
      <c r="C924" t="inlineStr">
        <is>
          <t>Healthcare Representative</t>
        </is>
      </c>
      <c r="D924" t="inlineStr">
        <is>
          <t>No</t>
        </is>
      </c>
      <c r="E924" s="8" t="n">
        <v>5343</v>
      </c>
      <c r="F924" s="8">
        <f>E924*Assumptions!$B$7</f>
        <v/>
      </c>
      <c r="G924" s="9" t="n">
        <v>0.0163</v>
      </c>
      <c r="H924" t="inlineStr">
        <is>
          <t>Low</t>
        </is>
      </c>
      <c r="I924">
        <f>IF(G924&gt;=Assumptions!$B$4,"Yes","No")</f>
        <v/>
      </c>
      <c r="J924" s="8">
        <f>F924*Assumptions!$B$6</f>
        <v/>
      </c>
      <c r="K924" s="10">
        <f>G924*J924</f>
        <v/>
      </c>
      <c r="L924" s="10">
        <f>IF(I924="Yes",G924*Assumptions!$B$5*J924,0)</f>
        <v/>
      </c>
    </row>
    <row r="925">
      <c r="A925" t="n">
        <v>406</v>
      </c>
      <c r="B925" t="inlineStr">
        <is>
          <t>Sales</t>
        </is>
      </c>
      <c r="C925" t="inlineStr">
        <is>
          <t>Sales Executive</t>
        </is>
      </c>
      <c r="D925" t="inlineStr">
        <is>
          <t>No</t>
        </is>
      </c>
      <c r="E925" s="8" t="n">
        <v>8020</v>
      </c>
      <c r="F925" s="8">
        <f>E925*Assumptions!$B$7</f>
        <v/>
      </c>
      <c r="G925" s="9" t="n">
        <v>0.0163</v>
      </c>
      <c r="H925" t="inlineStr">
        <is>
          <t>Low</t>
        </is>
      </c>
      <c r="I925">
        <f>IF(G925&gt;=Assumptions!$B$4,"Yes","No")</f>
        <v/>
      </c>
      <c r="J925" s="8">
        <f>F925*Assumptions!$B$6</f>
        <v/>
      </c>
      <c r="K925" s="10">
        <f>G925*J925</f>
        <v/>
      </c>
      <c r="L925" s="10">
        <f>IF(I925="Yes",G925*Assumptions!$B$5*J925,0)</f>
        <v/>
      </c>
    </row>
    <row r="926">
      <c r="A926" t="n">
        <v>259</v>
      </c>
      <c r="B926" t="inlineStr">
        <is>
          <t>Research &amp; Development</t>
        </is>
      </c>
      <c r="C926" t="inlineStr">
        <is>
          <t>Manager</t>
        </is>
      </c>
      <c r="D926" t="inlineStr">
        <is>
          <t>No</t>
        </is>
      </c>
      <c r="E926" s="8" t="n">
        <v>19999</v>
      </c>
      <c r="F926" s="8">
        <f>E926*Assumptions!$B$7</f>
        <v/>
      </c>
      <c r="G926" s="9" t="n">
        <v>0.0163</v>
      </c>
      <c r="H926" t="inlineStr">
        <is>
          <t>Low</t>
        </is>
      </c>
      <c r="I926">
        <f>IF(G926&gt;=Assumptions!$B$4,"Yes","No")</f>
        <v/>
      </c>
      <c r="J926" s="8">
        <f>F926*Assumptions!$B$6</f>
        <v/>
      </c>
      <c r="K926" s="10">
        <f>G926*J926</f>
        <v/>
      </c>
      <c r="L926" s="10">
        <f>IF(I926="Yes",G926*Assumptions!$B$5*J926,0)</f>
        <v/>
      </c>
    </row>
    <row r="927">
      <c r="A927" t="n">
        <v>1473</v>
      </c>
      <c r="B927" t="inlineStr">
        <is>
          <t>Research &amp; Development</t>
        </is>
      </c>
      <c r="C927" t="inlineStr">
        <is>
          <t>Healthcare Representative</t>
        </is>
      </c>
      <c r="D927" t="inlineStr">
        <is>
          <t>No</t>
        </is>
      </c>
      <c r="E927" s="8" t="n">
        <v>6651</v>
      </c>
      <c r="F927" s="8">
        <f>E927*Assumptions!$B$7</f>
        <v/>
      </c>
      <c r="G927" s="9" t="n">
        <v>0.016</v>
      </c>
      <c r="H927" t="inlineStr">
        <is>
          <t>Low</t>
        </is>
      </c>
      <c r="I927">
        <f>IF(G927&gt;=Assumptions!$B$4,"Yes","No")</f>
        <v/>
      </c>
      <c r="J927" s="8">
        <f>F927*Assumptions!$B$6</f>
        <v/>
      </c>
      <c r="K927" s="10">
        <f>G927*J927</f>
        <v/>
      </c>
      <c r="L927" s="10">
        <f>IF(I927="Yes",G927*Assumptions!$B$5*J927,0)</f>
        <v/>
      </c>
    </row>
    <row r="928">
      <c r="A928" t="n">
        <v>2000</v>
      </c>
      <c r="B928" t="inlineStr">
        <is>
          <t>Research &amp; Development</t>
        </is>
      </c>
      <c r="C928" t="inlineStr">
        <is>
          <t>Research Director</t>
        </is>
      </c>
      <c r="D928" t="inlineStr">
        <is>
          <t>No</t>
        </is>
      </c>
      <c r="E928" s="8" t="n">
        <v>11957</v>
      </c>
      <c r="F928" s="8">
        <f>E928*Assumptions!$B$7</f>
        <v/>
      </c>
      <c r="G928" s="9" t="n">
        <v>0.016</v>
      </c>
      <c r="H928" t="inlineStr">
        <is>
          <t>Low</t>
        </is>
      </c>
      <c r="I928">
        <f>IF(G928&gt;=Assumptions!$B$4,"Yes","No")</f>
        <v/>
      </c>
      <c r="J928" s="8">
        <f>F928*Assumptions!$B$6</f>
        <v/>
      </c>
      <c r="K928" s="10">
        <f>G928*J928</f>
        <v/>
      </c>
      <c r="L928" s="10">
        <f>IF(I928="Yes",G928*Assumptions!$B$5*J928,0)</f>
        <v/>
      </c>
    </row>
    <row r="929">
      <c r="A929" t="n">
        <v>865</v>
      </c>
      <c r="B929" t="inlineStr">
        <is>
          <t>Research &amp; Development</t>
        </is>
      </c>
      <c r="C929" t="inlineStr">
        <is>
          <t>Research Scientist</t>
        </is>
      </c>
      <c r="D929" t="inlineStr">
        <is>
          <t>No</t>
        </is>
      </c>
      <c r="E929" s="8" t="n">
        <v>5175</v>
      </c>
      <c r="F929" s="8">
        <f>E929*Assumptions!$B$7</f>
        <v/>
      </c>
      <c r="G929" s="9" t="n">
        <v>0.016</v>
      </c>
      <c r="H929" t="inlineStr">
        <is>
          <t>Low</t>
        </is>
      </c>
      <c r="I929">
        <f>IF(G929&gt;=Assumptions!$B$4,"Yes","No")</f>
        <v/>
      </c>
      <c r="J929" s="8">
        <f>F929*Assumptions!$B$6</f>
        <v/>
      </c>
      <c r="K929" s="10">
        <f>G929*J929</f>
        <v/>
      </c>
      <c r="L929" s="10">
        <f>IF(I929="Yes",G929*Assumptions!$B$5*J929,0)</f>
        <v/>
      </c>
    </row>
    <row r="930">
      <c r="A930" t="n">
        <v>1582</v>
      </c>
      <c r="B930" t="inlineStr">
        <is>
          <t>Sales</t>
        </is>
      </c>
      <c r="C930" t="inlineStr">
        <is>
          <t>Sales Executive</t>
        </is>
      </c>
      <c r="D930" t="inlineStr">
        <is>
          <t>No</t>
        </is>
      </c>
      <c r="E930" s="8" t="n">
        <v>9924</v>
      </c>
      <c r="F930" s="8">
        <f>E930*Assumptions!$B$7</f>
        <v/>
      </c>
      <c r="G930" s="9" t="n">
        <v>0.0159</v>
      </c>
      <c r="H930" t="inlineStr">
        <is>
          <t>Low</t>
        </is>
      </c>
      <c r="I930">
        <f>IF(G930&gt;=Assumptions!$B$4,"Yes","No")</f>
        <v/>
      </c>
      <c r="J930" s="8">
        <f>F930*Assumptions!$B$6</f>
        <v/>
      </c>
      <c r="K930" s="10">
        <f>G930*J930</f>
        <v/>
      </c>
      <c r="L930" s="10">
        <f>IF(I930="Yes",G930*Assumptions!$B$5*J930,0)</f>
        <v/>
      </c>
    </row>
    <row r="931">
      <c r="A931" t="n">
        <v>1207</v>
      </c>
      <c r="B931" t="inlineStr">
        <is>
          <t>Human Resources</t>
        </is>
      </c>
      <c r="C931" t="inlineStr">
        <is>
          <t>Human Resources</t>
        </is>
      </c>
      <c r="D931" t="inlineStr">
        <is>
          <t>No</t>
        </is>
      </c>
      <c r="E931" s="8" t="n">
        <v>3600</v>
      </c>
      <c r="F931" s="8">
        <f>E931*Assumptions!$B$7</f>
        <v/>
      </c>
      <c r="G931" s="9" t="n">
        <v>0.0159</v>
      </c>
      <c r="H931" t="inlineStr">
        <is>
          <t>Low</t>
        </is>
      </c>
      <c r="I931">
        <f>IF(G931&gt;=Assumptions!$B$4,"Yes","No")</f>
        <v/>
      </c>
      <c r="J931" s="8">
        <f>F931*Assumptions!$B$6</f>
        <v/>
      </c>
      <c r="K931" s="10">
        <f>G931*J931</f>
        <v/>
      </c>
      <c r="L931" s="10">
        <f>IF(I931="Yes",G931*Assumptions!$B$5*J931,0)</f>
        <v/>
      </c>
    </row>
    <row r="932">
      <c r="A932" t="n">
        <v>635</v>
      </c>
      <c r="B932" t="inlineStr">
        <is>
          <t>Research &amp; Development</t>
        </is>
      </c>
      <c r="C932" t="inlineStr">
        <is>
          <t>Manufacturing Director</t>
        </is>
      </c>
      <c r="D932" t="inlineStr">
        <is>
          <t>No</t>
        </is>
      </c>
      <c r="E932" s="8" t="n">
        <v>6447</v>
      </c>
      <c r="F932" s="8">
        <f>E932*Assumptions!$B$7</f>
        <v/>
      </c>
      <c r="G932" s="9" t="n">
        <v>0.0158</v>
      </c>
      <c r="H932" t="inlineStr">
        <is>
          <t>Low</t>
        </is>
      </c>
      <c r="I932">
        <f>IF(G932&gt;=Assumptions!$B$4,"Yes","No")</f>
        <v/>
      </c>
      <c r="J932" s="8">
        <f>F932*Assumptions!$B$6</f>
        <v/>
      </c>
      <c r="K932" s="10">
        <f>G932*J932</f>
        <v/>
      </c>
      <c r="L932" s="10">
        <f>IF(I932="Yes",G932*Assumptions!$B$5*J932,0)</f>
        <v/>
      </c>
    </row>
    <row r="933">
      <c r="A933" t="n">
        <v>1035</v>
      </c>
      <c r="B933" t="inlineStr">
        <is>
          <t>Research &amp; Development</t>
        </is>
      </c>
      <c r="C933" t="inlineStr">
        <is>
          <t>Research Director</t>
        </is>
      </c>
      <c r="D933" t="inlineStr">
        <is>
          <t>No</t>
        </is>
      </c>
      <c r="E933" s="8" t="n">
        <v>19973</v>
      </c>
      <c r="F933" s="8">
        <f>E933*Assumptions!$B$7</f>
        <v/>
      </c>
      <c r="G933" s="9" t="n">
        <v>0.0158</v>
      </c>
      <c r="H933" t="inlineStr">
        <is>
          <t>Low</t>
        </is>
      </c>
      <c r="I933">
        <f>IF(G933&gt;=Assumptions!$B$4,"Yes","No")</f>
        <v/>
      </c>
      <c r="J933" s="8">
        <f>F933*Assumptions!$B$6</f>
        <v/>
      </c>
      <c r="K933" s="10">
        <f>G933*J933</f>
        <v/>
      </c>
      <c r="L933" s="10">
        <f>IF(I933="Yes",G933*Assumptions!$B$5*J933,0)</f>
        <v/>
      </c>
    </row>
    <row r="934">
      <c r="A934" t="n">
        <v>1523</v>
      </c>
      <c r="B934" t="inlineStr">
        <is>
          <t>Research &amp; Development</t>
        </is>
      </c>
      <c r="C934" t="inlineStr">
        <is>
          <t>Research Director</t>
        </is>
      </c>
      <c r="D934" t="inlineStr">
        <is>
          <t>No</t>
        </is>
      </c>
      <c r="E934" s="8" t="n">
        <v>16328</v>
      </c>
      <c r="F934" s="8">
        <f>E934*Assumptions!$B$7</f>
        <v/>
      </c>
      <c r="G934" s="9" t="n">
        <v>0.0157</v>
      </c>
      <c r="H934" t="inlineStr">
        <is>
          <t>Low</t>
        </is>
      </c>
      <c r="I934">
        <f>IF(G934&gt;=Assumptions!$B$4,"Yes","No")</f>
        <v/>
      </c>
      <c r="J934" s="8">
        <f>F934*Assumptions!$B$6</f>
        <v/>
      </c>
      <c r="K934" s="10">
        <f>G934*J934</f>
        <v/>
      </c>
      <c r="L934" s="10">
        <f>IF(I934="Yes",G934*Assumptions!$B$5*J934,0)</f>
        <v/>
      </c>
    </row>
    <row r="935">
      <c r="A935" t="n">
        <v>564</v>
      </c>
      <c r="B935" t="inlineStr">
        <is>
          <t>Research &amp; Development</t>
        </is>
      </c>
      <c r="C935" t="inlineStr">
        <is>
          <t>Research Director</t>
        </is>
      </c>
      <c r="D935" t="inlineStr">
        <is>
          <t>No</t>
        </is>
      </c>
      <c r="E935" s="8" t="n">
        <v>11935</v>
      </c>
      <c r="F935" s="8">
        <f>E935*Assumptions!$B$7</f>
        <v/>
      </c>
      <c r="G935" s="9" t="n">
        <v>0.0157</v>
      </c>
      <c r="H935" t="inlineStr">
        <is>
          <t>Low</t>
        </is>
      </c>
      <c r="I935">
        <f>IF(G935&gt;=Assumptions!$B$4,"Yes","No")</f>
        <v/>
      </c>
      <c r="J935" s="8">
        <f>F935*Assumptions!$B$6</f>
        <v/>
      </c>
      <c r="K935" s="10">
        <f>G935*J935</f>
        <v/>
      </c>
      <c r="L935" s="10">
        <f>IF(I935="Yes",G935*Assumptions!$B$5*J935,0)</f>
        <v/>
      </c>
    </row>
    <row r="936">
      <c r="A936" t="n">
        <v>580</v>
      </c>
      <c r="B936" t="inlineStr">
        <is>
          <t>Sales</t>
        </is>
      </c>
      <c r="C936" t="inlineStr">
        <is>
          <t>Sales Executive</t>
        </is>
      </c>
      <c r="D936" t="inlineStr">
        <is>
          <t>Yes</t>
        </is>
      </c>
      <c r="E936" s="8" t="n">
        <v>9071</v>
      </c>
      <c r="F936" s="8">
        <f>E936*Assumptions!$B$7</f>
        <v/>
      </c>
      <c r="G936" s="9" t="n">
        <v>0.0156</v>
      </c>
      <c r="H936" t="inlineStr">
        <is>
          <t>Low</t>
        </is>
      </c>
      <c r="I936">
        <f>IF(G936&gt;=Assumptions!$B$4,"Yes","No")</f>
        <v/>
      </c>
      <c r="J936" s="8">
        <f>F936*Assumptions!$B$6</f>
        <v/>
      </c>
      <c r="K936" s="10">
        <f>G936*J936</f>
        <v/>
      </c>
      <c r="L936" s="10">
        <f>IF(I936="Yes",G936*Assumptions!$B$5*J936,0)</f>
        <v/>
      </c>
    </row>
    <row r="937">
      <c r="A937" t="n">
        <v>709</v>
      </c>
      <c r="B937" t="inlineStr">
        <is>
          <t>Sales</t>
        </is>
      </c>
      <c r="C937" t="inlineStr">
        <is>
          <t>Sales Executive</t>
        </is>
      </c>
      <c r="D937" t="inlineStr">
        <is>
          <t>No</t>
        </is>
      </c>
      <c r="E937" s="8" t="n">
        <v>4028</v>
      </c>
      <c r="F937" s="8">
        <f>E937*Assumptions!$B$7</f>
        <v/>
      </c>
      <c r="G937" s="9" t="n">
        <v>0.0155</v>
      </c>
      <c r="H937" t="inlineStr">
        <is>
          <t>Low</t>
        </is>
      </c>
      <c r="I937">
        <f>IF(G937&gt;=Assumptions!$B$4,"Yes","No")</f>
        <v/>
      </c>
      <c r="J937" s="8">
        <f>F937*Assumptions!$B$6</f>
        <v/>
      </c>
      <c r="K937" s="10">
        <f>G937*J937</f>
        <v/>
      </c>
      <c r="L937" s="10">
        <f>IF(I937="Yes",G937*Assumptions!$B$5*J937,0)</f>
        <v/>
      </c>
    </row>
    <row r="938">
      <c r="A938" t="n">
        <v>505</v>
      </c>
      <c r="B938" t="inlineStr">
        <is>
          <t>Research &amp; Development</t>
        </is>
      </c>
      <c r="C938" t="inlineStr">
        <is>
          <t>Manager</t>
        </is>
      </c>
      <c r="D938" t="inlineStr">
        <is>
          <t>Yes</t>
        </is>
      </c>
      <c r="E938" s="8" t="n">
        <v>16659</v>
      </c>
      <c r="F938" s="8">
        <f>E938*Assumptions!$B$7</f>
        <v/>
      </c>
      <c r="G938" s="9" t="n">
        <v>0.0155</v>
      </c>
      <c r="H938" t="inlineStr">
        <is>
          <t>Low</t>
        </is>
      </c>
      <c r="I938">
        <f>IF(G938&gt;=Assumptions!$B$4,"Yes","No")</f>
        <v/>
      </c>
      <c r="J938" s="8">
        <f>F938*Assumptions!$B$6</f>
        <v/>
      </c>
      <c r="K938" s="10">
        <f>G938*J938</f>
        <v/>
      </c>
      <c r="L938" s="10">
        <f>IF(I938="Yes",G938*Assumptions!$B$5*J938,0)</f>
        <v/>
      </c>
    </row>
    <row r="939">
      <c r="A939" t="n">
        <v>522</v>
      </c>
      <c r="B939" t="inlineStr">
        <is>
          <t>Research &amp; Development</t>
        </is>
      </c>
      <c r="C939" t="inlineStr">
        <is>
          <t>Research Director</t>
        </is>
      </c>
      <c r="D939" t="inlineStr">
        <is>
          <t>No</t>
        </is>
      </c>
      <c r="E939" s="8" t="n">
        <v>19406</v>
      </c>
      <c r="F939" s="8">
        <f>E939*Assumptions!$B$7</f>
        <v/>
      </c>
      <c r="G939" s="9" t="n">
        <v>0.0155</v>
      </c>
      <c r="H939" t="inlineStr">
        <is>
          <t>Low</t>
        </is>
      </c>
      <c r="I939">
        <f>IF(G939&gt;=Assumptions!$B$4,"Yes","No")</f>
        <v/>
      </c>
      <c r="J939" s="8">
        <f>F939*Assumptions!$B$6</f>
        <v/>
      </c>
      <c r="K939" s="10">
        <f>G939*J939</f>
        <v/>
      </c>
      <c r="L939" s="10">
        <f>IF(I939="Yes",G939*Assumptions!$B$5*J939,0)</f>
        <v/>
      </c>
    </row>
    <row r="940">
      <c r="A940" t="n">
        <v>487</v>
      </c>
      <c r="B940" t="inlineStr">
        <is>
          <t>Research &amp; Development</t>
        </is>
      </c>
      <c r="C940" t="inlineStr">
        <is>
          <t>Manufacturing Director</t>
        </is>
      </c>
      <c r="D940" t="inlineStr">
        <is>
          <t>No</t>
        </is>
      </c>
      <c r="E940" s="8" t="n">
        <v>5258</v>
      </c>
      <c r="F940" s="8">
        <f>E940*Assumptions!$B$7</f>
        <v/>
      </c>
      <c r="G940" s="9" t="n">
        <v>0.0154</v>
      </c>
      <c r="H940" t="inlineStr">
        <is>
          <t>Low</t>
        </is>
      </c>
      <c r="I940">
        <f>IF(G940&gt;=Assumptions!$B$4,"Yes","No")</f>
        <v/>
      </c>
      <c r="J940" s="8">
        <f>F940*Assumptions!$B$6</f>
        <v/>
      </c>
      <c r="K940" s="10">
        <f>G940*J940</f>
        <v/>
      </c>
      <c r="L940" s="10">
        <f>IF(I940="Yes",G940*Assumptions!$B$5*J940,0)</f>
        <v/>
      </c>
    </row>
    <row r="941">
      <c r="A941" t="n">
        <v>1664</v>
      </c>
      <c r="B941" t="inlineStr">
        <is>
          <t>Research &amp; Development</t>
        </is>
      </c>
      <c r="C941" t="inlineStr">
        <is>
          <t>Healthcare Representative</t>
        </is>
      </c>
      <c r="D941" t="inlineStr">
        <is>
          <t>No</t>
        </is>
      </c>
      <c r="E941" s="8" t="n">
        <v>6842</v>
      </c>
      <c r="F941" s="8">
        <f>E941*Assumptions!$B$7</f>
        <v/>
      </c>
      <c r="G941" s="9" t="n">
        <v>0.0154</v>
      </c>
      <c r="H941" t="inlineStr">
        <is>
          <t>Low</t>
        </is>
      </c>
      <c r="I941">
        <f>IF(G941&gt;=Assumptions!$B$4,"Yes","No")</f>
        <v/>
      </c>
      <c r="J941" s="8">
        <f>F941*Assumptions!$B$6</f>
        <v/>
      </c>
      <c r="K941" s="10">
        <f>G941*J941</f>
        <v/>
      </c>
      <c r="L941" s="10">
        <f>IF(I941="Yes",G941*Assumptions!$B$5*J941,0)</f>
        <v/>
      </c>
    </row>
    <row r="942">
      <c r="A942" t="n">
        <v>1696</v>
      </c>
      <c r="B942" t="inlineStr">
        <is>
          <t>Research &amp; Development</t>
        </is>
      </c>
      <c r="C942" t="inlineStr">
        <is>
          <t>Laboratory Technician</t>
        </is>
      </c>
      <c r="D942" t="inlineStr">
        <is>
          <t>No</t>
        </is>
      </c>
      <c r="E942" s="8" t="n">
        <v>3986</v>
      </c>
      <c r="F942" s="8">
        <f>E942*Assumptions!$B$7</f>
        <v/>
      </c>
      <c r="G942" s="9" t="n">
        <v>0.0154</v>
      </c>
      <c r="H942" t="inlineStr">
        <is>
          <t>Low</t>
        </is>
      </c>
      <c r="I942">
        <f>IF(G942&gt;=Assumptions!$B$4,"Yes","No")</f>
        <v/>
      </c>
      <c r="J942" s="8">
        <f>F942*Assumptions!$B$6</f>
        <v/>
      </c>
      <c r="K942" s="10">
        <f>G942*J942</f>
        <v/>
      </c>
      <c r="L942" s="10">
        <f>IF(I942="Yes",G942*Assumptions!$B$5*J942,0)</f>
        <v/>
      </c>
    </row>
    <row r="943">
      <c r="A943" t="n">
        <v>250</v>
      </c>
      <c r="B943" t="inlineStr">
        <is>
          <t>Research &amp; Development</t>
        </is>
      </c>
      <c r="C943" t="inlineStr">
        <is>
          <t>Manufacturing Director</t>
        </is>
      </c>
      <c r="D943" t="inlineStr">
        <is>
          <t>No</t>
        </is>
      </c>
      <c r="E943" s="8" t="n">
        <v>4450</v>
      </c>
      <c r="F943" s="8">
        <f>E943*Assumptions!$B$7</f>
        <v/>
      </c>
      <c r="G943" s="9" t="n">
        <v>0.0154</v>
      </c>
      <c r="H943" t="inlineStr">
        <is>
          <t>Low</t>
        </is>
      </c>
      <c r="I943">
        <f>IF(G943&gt;=Assumptions!$B$4,"Yes","No")</f>
        <v/>
      </c>
      <c r="J943" s="8">
        <f>F943*Assumptions!$B$6</f>
        <v/>
      </c>
      <c r="K943" s="10">
        <f>G943*J943</f>
        <v/>
      </c>
      <c r="L943" s="10">
        <f>IF(I943="Yes",G943*Assumptions!$B$5*J943,0)</f>
        <v/>
      </c>
    </row>
    <row r="944">
      <c r="A944" t="n">
        <v>23</v>
      </c>
      <c r="B944" t="inlineStr">
        <is>
          <t>Sales</t>
        </is>
      </c>
      <c r="C944" t="inlineStr">
        <is>
          <t>Manager</t>
        </is>
      </c>
      <c r="D944" t="inlineStr">
        <is>
          <t>No</t>
        </is>
      </c>
      <c r="E944" s="8" t="n">
        <v>15427</v>
      </c>
      <c r="F944" s="8">
        <f>E944*Assumptions!$B$7</f>
        <v/>
      </c>
      <c r="G944" s="9" t="n">
        <v>0.0154</v>
      </c>
      <c r="H944" t="inlineStr">
        <is>
          <t>Low</t>
        </is>
      </c>
      <c r="I944">
        <f>IF(G944&gt;=Assumptions!$B$4,"Yes","No")</f>
        <v/>
      </c>
      <c r="J944" s="8">
        <f>F944*Assumptions!$B$6</f>
        <v/>
      </c>
      <c r="K944" s="10">
        <f>G944*J944</f>
        <v/>
      </c>
      <c r="L944" s="10">
        <f>IF(I944="Yes",G944*Assumptions!$B$5*J944,0)</f>
        <v/>
      </c>
    </row>
    <row r="945">
      <c r="A945" t="n">
        <v>254</v>
      </c>
      <c r="B945" t="inlineStr">
        <is>
          <t>Research &amp; Development</t>
        </is>
      </c>
      <c r="C945" t="inlineStr">
        <is>
          <t>Research Director</t>
        </is>
      </c>
      <c r="D945" t="inlineStr">
        <is>
          <t>No</t>
        </is>
      </c>
      <c r="E945" s="8" t="n">
        <v>18722</v>
      </c>
      <c r="F945" s="8">
        <f>E945*Assumptions!$B$7</f>
        <v/>
      </c>
      <c r="G945" s="9" t="n">
        <v>0.0153</v>
      </c>
      <c r="H945" t="inlineStr">
        <is>
          <t>Low</t>
        </is>
      </c>
      <c r="I945">
        <f>IF(G945&gt;=Assumptions!$B$4,"Yes","No")</f>
        <v/>
      </c>
      <c r="J945" s="8">
        <f>F945*Assumptions!$B$6</f>
        <v/>
      </c>
      <c r="K945" s="10">
        <f>G945*J945</f>
        <v/>
      </c>
      <c r="L945" s="10">
        <f>IF(I945="Yes",G945*Assumptions!$B$5*J945,0)</f>
        <v/>
      </c>
    </row>
    <row r="946">
      <c r="A946" t="n">
        <v>1687</v>
      </c>
      <c r="B946" t="inlineStr">
        <is>
          <t>Research &amp; Development</t>
        </is>
      </c>
      <c r="C946" t="inlineStr">
        <is>
          <t>Laboratory Technician</t>
        </is>
      </c>
      <c r="D946" t="inlineStr">
        <is>
          <t>No</t>
        </is>
      </c>
      <c r="E946" s="8" t="n">
        <v>3306</v>
      </c>
      <c r="F946" s="8">
        <f>E946*Assumptions!$B$7</f>
        <v/>
      </c>
      <c r="G946" s="9" t="n">
        <v>0.0153</v>
      </c>
      <c r="H946" t="inlineStr">
        <is>
          <t>Low</t>
        </is>
      </c>
      <c r="I946">
        <f>IF(G946&gt;=Assumptions!$B$4,"Yes","No")</f>
        <v/>
      </c>
      <c r="J946" s="8">
        <f>F946*Assumptions!$B$6</f>
        <v/>
      </c>
      <c r="K946" s="10">
        <f>G946*J946</f>
        <v/>
      </c>
      <c r="L946" s="10">
        <f>IF(I946="Yes",G946*Assumptions!$B$5*J946,0)</f>
        <v/>
      </c>
    </row>
    <row r="947">
      <c r="A947" t="n">
        <v>581</v>
      </c>
      <c r="B947" t="inlineStr">
        <is>
          <t>Research &amp; Development</t>
        </is>
      </c>
      <c r="C947" t="inlineStr">
        <is>
          <t>Manufacturing Director</t>
        </is>
      </c>
      <c r="D947" t="inlineStr">
        <is>
          <t>No</t>
        </is>
      </c>
      <c r="E947" s="8" t="n">
        <v>10648</v>
      </c>
      <c r="F947" s="8">
        <f>E947*Assumptions!$B$7</f>
        <v/>
      </c>
      <c r="G947" s="9" t="n">
        <v>0.0151</v>
      </c>
      <c r="H947" t="inlineStr">
        <is>
          <t>Low</t>
        </is>
      </c>
      <c r="I947">
        <f>IF(G947&gt;=Assumptions!$B$4,"Yes","No")</f>
        <v/>
      </c>
      <c r="J947" s="8">
        <f>F947*Assumptions!$B$6</f>
        <v/>
      </c>
      <c r="K947" s="10">
        <f>G947*J947</f>
        <v/>
      </c>
      <c r="L947" s="10">
        <f>IF(I947="Yes",G947*Assumptions!$B$5*J947,0)</f>
        <v/>
      </c>
    </row>
    <row r="948">
      <c r="A948" t="n">
        <v>771</v>
      </c>
      <c r="B948" t="inlineStr">
        <is>
          <t>Research &amp; Development</t>
        </is>
      </c>
      <c r="C948" t="inlineStr">
        <is>
          <t>Healthcare Representative</t>
        </is>
      </c>
      <c r="D948" t="inlineStr">
        <is>
          <t>No</t>
        </is>
      </c>
      <c r="E948" s="8" t="n">
        <v>5093</v>
      </c>
      <c r="F948" s="8">
        <f>E948*Assumptions!$B$7</f>
        <v/>
      </c>
      <c r="G948" s="9" t="n">
        <v>0.0151</v>
      </c>
      <c r="H948" t="inlineStr">
        <is>
          <t>Low</t>
        </is>
      </c>
      <c r="I948">
        <f>IF(G948&gt;=Assumptions!$B$4,"Yes","No")</f>
        <v/>
      </c>
      <c r="J948" s="8">
        <f>F948*Assumptions!$B$6</f>
        <v/>
      </c>
      <c r="K948" s="10">
        <f>G948*J948</f>
        <v/>
      </c>
      <c r="L948" s="10">
        <f>IF(I948="Yes",G948*Assumptions!$B$5*J948,0)</f>
        <v/>
      </c>
    </row>
    <row r="949">
      <c r="A949" t="n">
        <v>691</v>
      </c>
      <c r="B949" t="inlineStr">
        <is>
          <t>Research &amp; Development</t>
        </is>
      </c>
      <c r="C949" t="inlineStr">
        <is>
          <t>Research Scientist</t>
        </is>
      </c>
      <c r="D949" t="inlineStr">
        <is>
          <t>No</t>
        </is>
      </c>
      <c r="E949" s="8" t="n">
        <v>6646</v>
      </c>
      <c r="F949" s="8">
        <f>E949*Assumptions!$B$7</f>
        <v/>
      </c>
      <c r="G949" s="9" t="n">
        <v>0.0151</v>
      </c>
      <c r="H949" t="inlineStr">
        <is>
          <t>Low</t>
        </is>
      </c>
      <c r="I949">
        <f>IF(G949&gt;=Assumptions!$B$4,"Yes","No")</f>
        <v/>
      </c>
      <c r="J949" s="8">
        <f>F949*Assumptions!$B$6</f>
        <v/>
      </c>
      <c r="K949" s="10">
        <f>G949*J949</f>
        <v/>
      </c>
      <c r="L949" s="10">
        <f>IF(I949="Yes",G949*Assumptions!$B$5*J949,0)</f>
        <v/>
      </c>
    </row>
    <row r="950">
      <c r="A950" t="n">
        <v>18</v>
      </c>
      <c r="B950" t="inlineStr">
        <is>
          <t>Research &amp; Development</t>
        </is>
      </c>
      <c r="C950" t="inlineStr">
        <is>
          <t>Laboratory Technician</t>
        </is>
      </c>
      <c r="D950" t="inlineStr">
        <is>
          <t>No</t>
        </is>
      </c>
      <c r="E950" s="8" t="n">
        <v>2661</v>
      </c>
      <c r="F950" s="8">
        <f>E950*Assumptions!$B$7</f>
        <v/>
      </c>
      <c r="G950" s="9" t="n">
        <v>0.015</v>
      </c>
      <c r="H950" t="inlineStr">
        <is>
          <t>Low</t>
        </is>
      </c>
      <c r="I950">
        <f>IF(G950&gt;=Assumptions!$B$4,"Yes","No")</f>
        <v/>
      </c>
      <c r="J950" s="8">
        <f>F950*Assumptions!$B$6</f>
        <v/>
      </c>
      <c r="K950" s="10">
        <f>G950*J950</f>
        <v/>
      </c>
      <c r="L950" s="10">
        <f>IF(I950="Yes",G950*Assumptions!$B$5*J950,0)</f>
        <v/>
      </c>
    </row>
    <row r="951">
      <c r="A951" t="n">
        <v>244</v>
      </c>
      <c r="B951" t="inlineStr">
        <is>
          <t>Sales</t>
        </is>
      </c>
      <c r="C951" t="inlineStr">
        <is>
          <t>Sales Executive</t>
        </is>
      </c>
      <c r="D951" t="inlineStr">
        <is>
          <t>No</t>
        </is>
      </c>
      <c r="E951" s="8" t="n">
        <v>10453</v>
      </c>
      <c r="F951" s="8">
        <f>E951*Assumptions!$B$7</f>
        <v/>
      </c>
      <c r="G951" s="9" t="n">
        <v>0.015</v>
      </c>
      <c r="H951" t="inlineStr">
        <is>
          <t>Low</t>
        </is>
      </c>
      <c r="I951">
        <f>IF(G951&gt;=Assumptions!$B$4,"Yes","No")</f>
        <v/>
      </c>
      <c r="J951" s="8">
        <f>F951*Assumptions!$B$6</f>
        <v/>
      </c>
      <c r="K951" s="10">
        <f>G951*J951</f>
        <v/>
      </c>
      <c r="L951" s="10">
        <f>IF(I951="Yes",G951*Assumptions!$B$5*J951,0)</f>
        <v/>
      </c>
    </row>
    <row r="952">
      <c r="A952" t="n">
        <v>901</v>
      </c>
      <c r="B952" t="inlineStr">
        <is>
          <t>Research &amp; Development</t>
        </is>
      </c>
      <c r="C952" t="inlineStr">
        <is>
          <t>Research Director</t>
        </is>
      </c>
      <c r="D952" t="inlineStr">
        <is>
          <t>No</t>
        </is>
      </c>
      <c r="E952" s="8" t="n">
        <v>14275</v>
      </c>
      <c r="F952" s="8">
        <f>E952*Assumptions!$B$7</f>
        <v/>
      </c>
      <c r="G952" s="9" t="n">
        <v>0.0149</v>
      </c>
      <c r="H952" t="inlineStr">
        <is>
          <t>Low</t>
        </is>
      </c>
      <c r="I952">
        <f>IF(G952&gt;=Assumptions!$B$4,"Yes","No")</f>
        <v/>
      </c>
      <c r="J952" s="8">
        <f>F952*Assumptions!$B$6</f>
        <v/>
      </c>
      <c r="K952" s="10">
        <f>G952*J952</f>
        <v/>
      </c>
      <c r="L952" s="10">
        <f>IF(I952="Yes",G952*Assumptions!$B$5*J952,0)</f>
        <v/>
      </c>
    </row>
    <row r="953">
      <c r="A953" t="n">
        <v>410</v>
      </c>
      <c r="B953" t="inlineStr">
        <is>
          <t>Sales</t>
        </is>
      </c>
      <c r="C953" t="inlineStr">
        <is>
          <t>Manager</t>
        </is>
      </c>
      <c r="D953" t="inlineStr">
        <is>
          <t>No</t>
        </is>
      </c>
      <c r="E953" s="8" t="n">
        <v>16015</v>
      </c>
      <c r="F953" s="8">
        <f>E953*Assumptions!$B$7</f>
        <v/>
      </c>
      <c r="G953" s="9" t="n">
        <v>0.0148</v>
      </c>
      <c r="H953" t="inlineStr">
        <is>
          <t>Low</t>
        </is>
      </c>
      <c r="I953">
        <f>IF(G953&gt;=Assumptions!$B$4,"Yes","No")</f>
        <v/>
      </c>
      <c r="J953" s="8">
        <f>F953*Assumptions!$B$6</f>
        <v/>
      </c>
      <c r="K953" s="10">
        <f>G953*J953</f>
        <v/>
      </c>
      <c r="L953" s="10">
        <f>IF(I953="Yes",G953*Assumptions!$B$5*J953,0)</f>
        <v/>
      </c>
    </row>
    <row r="954">
      <c r="A954" t="n">
        <v>1349</v>
      </c>
      <c r="B954" t="inlineStr">
        <is>
          <t>Sales</t>
        </is>
      </c>
      <c r="C954" t="inlineStr">
        <is>
          <t>Sales Executive</t>
        </is>
      </c>
      <c r="D954" t="inlineStr">
        <is>
          <t>No</t>
        </is>
      </c>
      <c r="E954" s="8" t="n">
        <v>4103</v>
      </c>
      <c r="F954" s="8">
        <f>E954*Assumptions!$B$7</f>
        <v/>
      </c>
      <c r="G954" s="9" t="n">
        <v>0.0148</v>
      </c>
      <c r="H954" t="inlineStr">
        <is>
          <t>Low</t>
        </is>
      </c>
      <c r="I954">
        <f>IF(G954&gt;=Assumptions!$B$4,"Yes","No")</f>
        <v/>
      </c>
      <c r="J954" s="8">
        <f>F954*Assumptions!$B$6</f>
        <v/>
      </c>
      <c r="K954" s="10">
        <f>G954*J954</f>
        <v/>
      </c>
      <c r="L954" s="10">
        <f>IF(I954="Yes",G954*Assumptions!$B$5*J954,0)</f>
        <v/>
      </c>
    </row>
    <row r="955">
      <c r="A955" t="n">
        <v>1871</v>
      </c>
      <c r="B955" t="inlineStr">
        <is>
          <t>Research &amp; Development</t>
        </is>
      </c>
      <c r="C955" t="inlineStr">
        <is>
          <t>Research Scientist</t>
        </is>
      </c>
      <c r="D955" t="inlineStr">
        <is>
          <t>No</t>
        </is>
      </c>
      <c r="E955" s="8" t="n">
        <v>3902</v>
      </c>
      <c r="F955" s="8">
        <f>E955*Assumptions!$B$7</f>
        <v/>
      </c>
      <c r="G955" s="9" t="n">
        <v>0.0148</v>
      </c>
      <c r="H955" t="inlineStr">
        <is>
          <t>Low</t>
        </is>
      </c>
      <c r="I955">
        <f>IF(G955&gt;=Assumptions!$B$4,"Yes","No")</f>
        <v/>
      </c>
      <c r="J955" s="8">
        <f>F955*Assumptions!$B$6</f>
        <v/>
      </c>
      <c r="K955" s="10">
        <f>G955*J955</f>
        <v/>
      </c>
      <c r="L955" s="10">
        <f>IF(I955="Yes",G955*Assumptions!$B$5*J955,0)</f>
        <v/>
      </c>
    </row>
    <row r="956">
      <c r="A956" t="n">
        <v>859</v>
      </c>
      <c r="B956" t="inlineStr">
        <is>
          <t>Sales</t>
        </is>
      </c>
      <c r="C956" t="inlineStr">
        <is>
          <t>Sales Executive</t>
        </is>
      </c>
      <c r="D956" t="inlineStr">
        <is>
          <t>No</t>
        </is>
      </c>
      <c r="E956" s="8" t="n">
        <v>4403</v>
      </c>
      <c r="F956" s="8">
        <f>E956*Assumptions!$B$7</f>
        <v/>
      </c>
      <c r="G956" s="9" t="n">
        <v>0.0148</v>
      </c>
      <c r="H956" t="inlineStr">
        <is>
          <t>Low</t>
        </is>
      </c>
      <c r="I956">
        <f>IF(G956&gt;=Assumptions!$B$4,"Yes","No")</f>
        <v/>
      </c>
      <c r="J956" s="8">
        <f>F956*Assumptions!$B$6</f>
        <v/>
      </c>
      <c r="K956" s="10">
        <f>G956*J956</f>
        <v/>
      </c>
      <c r="L956" s="10">
        <f>IF(I956="Yes",G956*Assumptions!$B$5*J956,0)</f>
        <v/>
      </c>
    </row>
    <row r="957">
      <c r="A957" t="n">
        <v>298</v>
      </c>
      <c r="B957" t="inlineStr">
        <is>
          <t>Sales</t>
        </is>
      </c>
      <c r="C957" t="inlineStr">
        <is>
          <t>Manager</t>
        </is>
      </c>
      <c r="D957" t="inlineStr">
        <is>
          <t>Yes</t>
        </is>
      </c>
      <c r="E957" s="8" t="n">
        <v>13591</v>
      </c>
      <c r="F957" s="8">
        <f>E957*Assumptions!$B$7</f>
        <v/>
      </c>
      <c r="G957" s="9" t="n">
        <v>0.0147</v>
      </c>
      <c r="H957" t="inlineStr">
        <is>
          <t>Low</t>
        </is>
      </c>
      <c r="I957">
        <f>IF(G957&gt;=Assumptions!$B$4,"Yes","No")</f>
        <v/>
      </c>
      <c r="J957" s="8">
        <f>F957*Assumptions!$B$6</f>
        <v/>
      </c>
      <c r="K957" s="10">
        <f>G957*J957</f>
        <v/>
      </c>
      <c r="L957" s="10">
        <f>IF(I957="Yes",G957*Assumptions!$B$5*J957,0)</f>
        <v/>
      </c>
    </row>
    <row r="958">
      <c r="A958" t="n">
        <v>52</v>
      </c>
      <c r="B958" t="inlineStr">
        <is>
          <t>Sales</t>
        </is>
      </c>
      <c r="C958" t="inlineStr">
        <is>
          <t>Sales Executive</t>
        </is>
      </c>
      <c r="D958" t="inlineStr">
        <is>
          <t>No</t>
        </is>
      </c>
      <c r="E958" s="8" t="n">
        <v>5376</v>
      </c>
      <c r="F958" s="8">
        <f>E958*Assumptions!$B$7</f>
        <v/>
      </c>
      <c r="G958" s="9" t="n">
        <v>0.0145</v>
      </c>
      <c r="H958" t="inlineStr">
        <is>
          <t>Low</t>
        </is>
      </c>
      <c r="I958">
        <f>IF(G958&gt;=Assumptions!$B$4,"Yes","No")</f>
        <v/>
      </c>
      <c r="J958" s="8">
        <f>F958*Assumptions!$B$6</f>
        <v/>
      </c>
      <c r="K958" s="10">
        <f>G958*J958</f>
        <v/>
      </c>
      <c r="L958" s="10">
        <f>IF(I958="Yes",G958*Assumptions!$B$5*J958,0)</f>
        <v/>
      </c>
    </row>
    <row r="959">
      <c r="A959" t="n">
        <v>1449</v>
      </c>
      <c r="B959" t="inlineStr">
        <is>
          <t>Research &amp; Development</t>
        </is>
      </c>
      <c r="C959" t="inlineStr">
        <is>
          <t>Laboratory Technician</t>
        </is>
      </c>
      <c r="D959" t="inlineStr">
        <is>
          <t>No</t>
        </is>
      </c>
      <c r="E959" s="8" t="n">
        <v>3975</v>
      </c>
      <c r="F959" s="8">
        <f>E959*Assumptions!$B$7</f>
        <v/>
      </c>
      <c r="G959" s="9" t="n">
        <v>0.0145</v>
      </c>
      <c r="H959" t="inlineStr">
        <is>
          <t>Low</t>
        </is>
      </c>
      <c r="I959">
        <f>IF(G959&gt;=Assumptions!$B$4,"Yes","No")</f>
        <v/>
      </c>
      <c r="J959" s="8">
        <f>F959*Assumptions!$B$6</f>
        <v/>
      </c>
      <c r="K959" s="10">
        <f>G959*J959</f>
        <v/>
      </c>
      <c r="L959" s="10">
        <f>IF(I959="Yes",G959*Assumptions!$B$5*J959,0)</f>
        <v/>
      </c>
    </row>
    <row r="960">
      <c r="A960" t="n">
        <v>1973</v>
      </c>
      <c r="B960" t="inlineStr">
        <is>
          <t>Human Resources</t>
        </is>
      </c>
      <c r="C960" t="inlineStr">
        <is>
          <t>Manager</t>
        </is>
      </c>
      <c r="D960" t="inlineStr">
        <is>
          <t>Yes</t>
        </is>
      </c>
      <c r="E960" s="8" t="n">
        <v>19636</v>
      </c>
      <c r="F960" s="8">
        <f>E960*Assumptions!$B$7</f>
        <v/>
      </c>
      <c r="G960" s="9" t="n">
        <v>0.0144</v>
      </c>
      <c r="H960" t="inlineStr">
        <is>
          <t>Low</t>
        </is>
      </c>
      <c r="I960">
        <f>IF(G960&gt;=Assumptions!$B$4,"Yes","No")</f>
        <v/>
      </c>
      <c r="J960" s="8">
        <f>F960*Assumptions!$B$6</f>
        <v/>
      </c>
      <c r="K960" s="10">
        <f>G960*J960</f>
        <v/>
      </c>
      <c r="L960" s="10">
        <f>IF(I960="Yes",G960*Assumptions!$B$5*J960,0)</f>
        <v/>
      </c>
    </row>
    <row r="961">
      <c r="A961" t="n">
        <v>1772</v>
      </c>
      <c r="B961" t="inlineStr">
        <is>
          <t>Research &amp; Development</t>
        </is>
      </c>
      <c r="C961" t="inlineStr">
        <is>
          <t>Laboratory Technician</t>
        </is>
      </c>
      <c r="D961" t="inlineStr">
        <is>
          <t>No</t>
        </is>
      </c>
      <c r="E961" s="8" t="n">
        <v>2289</v>
      </c>
      <c r="F961" s="8">
        <f>E961*Assumptions!$B$7</f>
        <v/>
      </c>
      <c r="G961" s="9" t="n">
        <v>0.0143</v>
      </c>
      <c r="H961" t="inlineStr">
        <is>
          <t>Low</t>
        </is>
      </c>
      <c r="I961">
        <f>IF(G961&gt;=Assumptions!$B$4,"Yes","No")</f>
        <v/>
      </c>
      <c r="J961" s="8">
        <f>F961*Assumptions!$B$6</f>
        <v/>
      </c>
      <c r="K961" s="10">
        <f>G961*J961</f>
        <v/>
      </c>
      <c r="L961" s="10">
        <f>IF(I961="Yes",G961*Assumptions!$B$5*J961,0)</f>
        <v/>
      </c>
    </row>
    <row r="962">
      <c r="A962" t="n">
        <v>1628</v>
      </c>
      <c r="B962" t="inlineStr">
        <is>
          <t>Research &amp; Development</t>
        </is>
      </c>
      <c r="C962" t="inlineStr">
        <is>
          <t>Manufacturing Director</t>
        </is>
      </c>
      <c r="D962" t="inlineStr">
        <is>
          <t>No</t>
        </is>
      </c>
      <c r="E962" s="8" t="n">
        <v>10435</v>
      </c>
      <c r="F962" s="8">
        <f>E962*Assumptions!$B$7</f>
        <v/>
      </c>
      <c r="G962" s="9" t="n">
        <v>0.0143</v>
      </c>
      <c r="H962" t="inlineStr">
        <is>
          <t>Low</t>
        </is>
      </c>
      <c r="I962">
        <f>IF(G962&gt;=Assumptions!$B$4,"Yes","No")</f>
        <v/>
      </c>
      <c r="J962" s="8">
        <f>F962*Assumptions!$B$6</f>
        <v/>
      </c>
      <c r="K962" s="10">
        <f>G962*J962</f>
        <v/>
      </c>
      <c r="L962" s="10">
        <f>IF(I962="Yes",G962*Assumptions!$B$5*J962,0)</f>
        <v/>
      </c>
    </row>
    <row r="963">
      <c r="A963" t="n">
        <v>1866</v>
      </c>
      <c r="B963" t="inlineStr">
        <is>
          <t>Research &amp; Development</t>
        </is>
      </c>
      <c r="C963" t="inlineStr">
        <is>
          <t>Manager</t>
        </is>
      </c>
      <c r="D963" t="inlineStr">
        <is>
          <t>No</t>
        </is>
      </c>
      <c r="E963" s="8" t="n">
        <v>19392</v>
      </c>
      <c r="F963" s="8">
        <f>E963*Assumptions!$B$7</f>
        <v/>
      </c>
      <c r="G963" s="9" t="n">
        <v>0.0143</v>
      </c>
      <c r="H963" t="inlineStr">
        <is>
          <t>Low</t>
        </is>
      </c>
      <c r="I963">
        <f>IF(G963&gt;=Assumptions!$B$4,"Yes","No")</f>
        <v/>
      </c>
      <c r="J963" s="8">
        <f>F963*Assumptions!$B$6</f>
        <v/>
      </c>
      <c r="K963" s="10">
        <f>G963*J963</f>
        <v/>
      </c>
      <c r="L963" s="10">
        <f>IF(I963="Yes",G963*Assumptions!$B$5*J963,0)</f>
        <v/>
      </c>
    </row>
    <row r="964">
      <c r="A964" t="n">
        <v>153</v>
      </c>
      <c r="B964" t="inlineStr">
        <is>
          <t>Research &amp; Development</t>
        </is>
      </c>
      <c r="C964" t="inlineStr">
        <is>
          <t>Manager</t>
        </is>
      </c>
      <c r="D964" t="inlineStr">
        <is>
          <t>No</t>
        </is>
      </c>
      <c r="E964" s="8" t="n">
        <v>11631</v>
      </c>
      <c r="F964" s="8">
        <f>E964*Assumptions!$B$7</f>
        <v/>
      </c>
      <c r="G964" s="9" t="n">
        <v>0.0142</v>
      </c>
      <c r="H964" t="inlineStr">
        <is>
          <t>Low</t>
        </is>
      </c>
      <c r="I964">
        <f>IF(G964&gt;=Assumptions!$B$4,"Yes","No")</f>
        <v/>
      </c>
      <c r="J964" s="8">
        <f>F964*Assumptions!$B$6</f>
        <v/>
      </c>
      <c r="K964" s="10">
        <f>G964*J964</f>
        <v/>
      </c>
      <c r="L964" s="10">
        <f>IF(I964="Yes",G964*Assumptions!$B$5*J964,0)</f>
        <v/>
      </c>
    </row>
    <row r="965">
      <c r="A965" t="n">
        <v>1018</v>
      </c>
      <c r="B965" t="inlineStr">
        <is>
          <t>Research &amp; Development</t>
        </is>
      </c>
      <c r="C965" t="inlineStr">
        <is>
          <t>Manufacturing Director</t>
        </is>
      </c>
      <c r="D965" t="inlineStr">
        <is>
          <t>No</t>
        </is>
      </c>
      <c r="E965" s="8" t="n">
        <v>5472</v>
      </c>
      <c r="F965" s="8">
        <f>E965*Assumptions!$B$7</f>
        <v/>
      </c>
      <c r="G965" s="9" t="n">
        <v>0.0142</v>
      </c>
      <c r="H965" t="inlineStr">
        <is>
          <t>Low</t>
        </is>
      </c>
      <c r="I965">
        <f>IF(G965&gt;=Assumptions!$B$4,"Yes","No")</f>
        <v/>
      </c>
      <c r="J965" s="8">
        <f>F965*Assumptions!$B$6</f>
        <v/>
      </c>
      <c r="K965" s="10">
        <f>G965*J965</f>
        <v/>
      </c>
      <c r="L965" s="10">
        <f>IF(I965="Yes",G965*Assumptions!$B$5*J965,0)</f>
        <v/>
      </c>
    </row>
    <row r="966">
      <c r="A966" t="n">
        <v>1729</v>
      </c>
      <c r="B966" t="inlineStr">
        <is>
          <t>Research &amp; Development</t>
        </is>
      </c>
      <c r="C966" t="inlineStr">
        <is>
          <t>Research Scientist</t>
        </is>
      </c>
      <c r="D966" t="inlineStr">
        <is>
          <t>No</t>
        </is>
      </c>
      <c r="E966" s="8" t="n">
        <v>2862</v>
      </c>
      <c r="F966" s="8">
        <f>E966*Assumptions!$B$7</f>
        <v/>
      </c>
      <c r="G966" s="9" t="n">
        <v>0.0141</v>
      </c>
      <c r="H966" t="inlineStr">
        <is>
          <t>Low</t>
        </is>
      </c>
      <c r="I966">
        <f>IF(G966&gt;=Assumptions!$B$4,"Yes","No")</f>
        <v/>
      </c>
      <c r="J966" s="8">
        <f>F966*Assumptions!$B$6</f>
        <v/>
      </c>
      <c r="K966" s="10">
        <f>G966*J966</f>
        <v/>
      </c>
      <c r="L966" s="10">
        <f>IF(I966="Yes",G966*Assumptions!$B$5*J966,0)</f>
        <v/>
      </c>
    </row>
    <row r="967">
      <c r="A967" t="n">
        <v>231</v>
      </c>
      <c r="B967" t="inlineStr">
        <is>
          <t>Research &amp; Development</t>
        </is>
      </c>
      <c r="C967" t="inlineStr">
        <is>
          <t>Research Scientist</t>
        </is>
      </c>
      <c r="D967" t="inlineStr">
        <is>
          <t>No</t>
        </is>
      </c>
      <c r="E967" s="8" t="n">
        <v>3038</v>
      </c>
      <c r="F967" s="8">
        <f>E967*Assumptions!$B$7</f>
        <v/>
      </c>
      <c r="G967" s="9" t="n">
        <v>0.0141</v>
      </c>
      <c r="H967" t="inlineStr">
        <is>
          <t>Low</t>
        </is>
      </c>
      <c r="I967">
        <f>IF(G967&gt;=Assumptions!$B$4,"Yes","No")</f>
        <v/>
      </c>
      <c r="J967" s="8">
        <f>F967*Assumptions!$B$6</f>
        <v/>
      </c>
      <c r="K967" s="10">
        <f>G967*J967</f>
        <v/>
      </c>
      <c r="L967" s="10">
        <f>IF(I967="Yes",G967*Assumptions!$B$5*J967,0)</f>
        <v/>
      </c>
    </row>
    <row r="968">
      <c r="A968" t="n">
        <v>664</v>
      </c>
      <c r="B968" t="inlineStr">
        <is>
          <t>Research &amp; Development</t>
        </is>
      </c>
      <c r="C968" t="inlineStr">
        <is>
          <t>Manager</t>
        </is>
      </c>
      <c r="D968" t="inlineStr">
        <is>
          <t>No</t>
        </is>
      </c>
      <c r="E968" s="8" t="n">
        <v>15402</v>
      </c>
      <c r="F968" s="8">
        <f>E968*Assumptions!$B$7</f>
        <v/>
      </c>
      <c r="G968" s="9" t="n">
        <v>0.014</v>
      </c>
      <c r="H968" t="inlineStr">
        <is>
          <t>Low</t>
        </is>
      </c>
      <c r="I968">
        <f>IF(G968&gt;=Assumptions!$B$4,"Yes","No")</f>
        <v/>
      </c>
      <c r="J968" s="8">
        <f>F968*Assumptions!$B$6</f>
        <v/>
      </c>
      <c r="K968" s="10">
        <f>G968*J968</f>
        <v/>
      </c>
      <c r="L968" s="10">
        <f>IF(I968="Yes",G968*Assumptions!$B$5*J968,0)</f>
        <v/>
      </c>
    </row>
    <row r="969">
      <c r="A969" t="n">
        <v>675</v>
      </c>
      <c r="B969" t="inlineStr">
        <is>
          <t>Research &amp; Development</t>
        </is>
      </c>
      <c r="C969" t="inlineStr">
        <is>
          <t>Research Scientist</t>
        </is>
      </c>
      <c r="D969" t="inlineStr">
        <is>
          <t>No</t>
        </is>
      </c>
      <c r="E969" s="8" t="n">
        <v>2773</v>
      </c>
      <c r="F969" s="8">
        <f>E969*Assumptions!$B$7</f>
        <v/>
      </c>
      <c r="G969" s="9" t="n">
        <v>0.0139</v>
      </c>
      <c r="H969" t="inlineStr">
        <is>
          <t>Low</t>
        </is>
      </c>
      <c r="I969">
        <f>IF(G969&gt;=Assumptions!$B$4,"Yes","No")</f>
        <v/>
      </c>
      <c r="J969" s="8">
        <f>F969*Assumptions!$B$6</f>
        <v/>
      </c>
      <c r="K969" s="10">
        <f>G969*J969</f>
        <v/>
      </c>
      <c r="L969" s="10">
        <f>IF(I969="Yes",G969*Assumptions!$B$5*J969,0)</f>
        <v/>
      </c>
    </row>
    <row r="970">
      <c r="A970" t="n">
        <v>1763</v>
      </c>
      <c r="B970" t="inlineStr">
        <is>
          <t>Research &amp; Development</t>
        </is>
      </c>
      <c r="C970" t="inlineStr">
        <is>
          <t>Healthcare Representative</t>
        </is>
      </c>
      <c r="D970" t="inlineStr">
        <is>
          <t>No</t>
        </is>
      </c>
      <c r="E970" s="8" t="n">
        <v>5294</v>
      </c>
      <c r="F970" s="8">
        <f>E970*Assumptions!$B$7</f>
        <v/>
      </c>
      <c r="G970" s="9" t="n">
        <v>0.0139</v>
      </c>
      <c r="H970" t="inlineStr">
        <is>
          <t>Low</t>
        </is>
      </c>
      <c r="I970">
        <f>IF(G970&gt;=Assumptions!$B$4,"Yes","No")</f>
        <v/>
      </c>
      <c r="J970" s="8">
        <f>F970*Assumptions!$B$6</f>
        <v/>
      </c>
      <c r="K970" s="10">
        <f>G970*J970</f>
        <v/>
      </c>
      <c r="L970" s="10">
        <f>IF(I970="Yes",G970*Assumptions!$B$5*J970,0)</f>
        <v/>
      </c>
    </row>
    <row r="971">
      <c r="A971" t="n">
        <v>1308</v>
      </c>
      <c r="B971" t="inlineStr">
        <is>
          <t>Research &amp; Development</t>
        </is>
      </c>
      <c r="C971" t="inlineStr">
        <is>
          <t>Research Scientist</t>
        </is>
      </c>
      <c r="D971" t="inlineStr">
        <is>
          <t>No</t>
        </is>
      </c>
      <c r="E971" s="8" t="n">
        <v>2372</v>
      </c>
      <c r="F971" s="8">
        <f>E971*Assumptions!$B$7</f>
        <v/>
      </c>
      <c r="G971" s="9" t="n">
        <v>0.0139</v>
      </c>
      <c r="H971" t="inlineStr">
        <is>
          <t>Low</t>
        </is>
      </c>
      <c r="I971">
        <f>IF(G971&gt;=Assumptions!$B$4,"Yes","No")</f>
        <v/>
      </c>
      <c r="J971" s="8">
        <f>F971*Assumptions!$B$6</f>
        <v/>
      </c>
      <c r="K971" s="10">
        <f>G971*J971</f>
        <v/>
      </c>
      <c r="L971" s="10">
        <f>IF(I971="Yes",G971*Assumptions!$B$5*J971,0)</f>
        <v/>
      </c>
    </row>
    <row r="972">
      <c r="A972" t="n">
        <v>1121</v>
      </c>
      <c r="B972" t="inlineStr">
        <is>
          <t>Research &amp; Development</t>
        </is>
      </c>
      <c r="C972" t="inlineStr">
        <is>
          <t>Manufacturing Director</t>
        </is>
      </c>
      <c r="D972" t="inlineStr">
        <is>
          <t>No</t>
        </is>
      </c>
      <c r="E972" s="8" t="n">
        <v>7655</v>
      </c>
      <c r="F972" s="8">
        <f>E972*Assumptions!$B$7</f>
        <v/>
      </c>
      <c r="G972" s="9" t="n">
        <v>0.0138</v>
      </c>
      <c r="H972" t="inlineStr">
        <is>
          <t>Low</t>
        </is>
      </c>
      <c r="I972">
        <f>IF(G972&gt;=Assumptions!$B$4,"Yes","No")</f>
        <v/>
      </c>
      <c r="J972" s="8">
        <f>F972*Assumptions!$B$6</f>
        <v/>
      </c>
      <c r="K972" s="10">
        <f>G972*J972</f>
        <v/>
      </c>
      <c r="L972" s="10">
        <f>IF(I972="Yes",G972*Assumptions!$B$5*J972,0)</f>
        <v/>
      </c>
    </row>
    <row r="973">
      <c r="A973" t="n">
        <v>1280</v>
      </c>
      <c r="B973" t="inlineStr">
        <is>
          <t>Sales</t>
        </is>
      </c>
      <c r="C973" t="inlineStr">
        <is>
          <t>Manager</t>
        </is>
      </c>
      <c r="D973" t="inlineStr">
        <is>
          <t>No</t>
        </is>
      </c>
      <c r="E973" s="8" t="n">
        <v>18789</v>
      </c>
      <c r="F973" s="8">
        <f>E973*Assumptions!$B$7</f>
        <v/>
      </c>
      <c r="G973" s="9" t="n">
        <v>0.0137</v>
      </c>
      <c r="H973" t="inlineStr">
        <is>
          <t>Low</t>
        </is>
      </c>
      <c r="I973">
        <f>IF(G973&gt;=Assumptions!$B$4,"Yes","No")</f>
        <v/>
      </c>
      <c r="J973" s="8">
        <f>F973*Assumptions!$B$6</f>
        <v/>
      </c>
      <c r="K973" s="10">
        <f>G973*J973</f>
        <v/>
      </c>
      <c r="L973" s="10">
        <f>IF(I973="Yes",G973*Assumptions!$B$5*J973,0)</f>
        <v/>
      </c>
    </row>
    <row r="974">
      <c r="A974" t="n">
        <v>1900</v>
      </c>
      <c r="B974" t="inlineStr">
        <is>
          <t>Research &amp; Development</t>
        </is>
      </c>
      <c r="C974" t="inlineStr">
        <is>
          <t>Manager</t>
        </is>
      </c>
      <c r="D974" t="inlineStr">
        <is>
          <t>No</t>
        </is>
      </c>
      <c r="E974" s="8" t="n">
        <v>17174</v>
      </c>
      <c r="F974" s="8">
        <f>E974*Assumptions!$B$7</f>
        <v/>
      </c>
      <c r="G974" s="9" t="n">
        <v>0.0136</v>
      </c>
      <c r="H974" t="inlineStr">
        <is>
          <t>Low</t>
        </is>
      </c>
      <c r="I974">
        <f>IF(G974&gt;=Assumptions!$B$4,"Yes","No")</f>
        <v/>
      </c>
      <c r="J974" s="8">
        <f>F974*Assumptions!$B$6</f>
        <v/>
      </c>
      <c r="K974" s="10">
        <f>G974*J974</f>
        <v/>
      </c>
      <c r="L974" s="10">
        <f>IF(I974="Yes",G974*Assumptions!$B$5*J974,0)</f>
        <v/>
      </c>
    </row>
    <row r="975">
      <c r="A975" t="n">
        <v>1934</v>
      </c>
      <c r="B975" t="inlineStr">
        <is>
          <t>Research &amp; Development</t>
        </is>
      </c>
      <c r="C975" t="inlineStr">
        <is>
          <t>Research Scientist</t>
        </is>
      </c>
      <c r="D975" t="inlineStr">
        <is>
          <t>No</t>
        </is>
      </c>
      <c r="E975" s="8" t="n">
        <v>5467</v>
      </c>
      <c r="F975" s="8">
        <f>E975*Assumptions!$B$7</f>
        <v/>
      </c>
      <c r="G975" s="9" t="n">
        <v>0.0135</v>
      </c>
      <c r="H975" t="inlineStr">
        <is>
          <t>Low</t>
        </is>
      </c>
      <c r="I975">
        <f>IF(G975&gt;=Assumptions!$B$4,"Yes","No")</f>
        <v/>
      </c>
      <c r="J975" s="8">
        <f>F975*Assumptions!$B$6</f>
        <v/>
      </c>
      <c r="K975" s="10">
        <f>G975*J975</f>
        <v/>
      </c>
      <c r="L975" s="10">
        <f>IF(I975="Yes",G975*Assumptions!$B$5*J975,0)</f>
        <v/>
      </c>
    </row>
    <row r="976">
      <c r="A976" t="n">
        <v>869</v>
      </c>
      <c r="B976" t="inlineStr">
        <is>
          <t>Human Resources</t>
        </is>
      </c>
      <c r="C976" t="inlineStr">
        <is>
          <t>Human Resources</t>
        </is>
      </c>
      <c r="D976" t="inlineStr">
        <is>
          <t>No</t>
        </is>
      </c>
      <c r="E976" s="8" t="n">
        <v>4936</v>
      </c>
      <c r="F976" s="8">
        <f>E976*Assumptions!$B$7</f>
        <v/>
      </c>
      <c r="G976" s="9" t="n">
        <v>0.0135</v>
      </c>
      <c r="H976" t="inlineStr">
        <is>
          <t>Low</t>
        </is>
      </c>
      <c r="I976">
        <f>IF(G976&gt;=Assumptions!$B$4,"Yes","No")</f>
        <v/>
      </c>
      <c r="J976" s="8">
        <f>F976*Assumptions!$B$6</f>
        <v/>
      </c>
      <c r="K976" s="10">
        <f>G976*J976</f>
        <v/>
      </c>
      <c r="L976" s="10">
        <f>IF(I976="Yes",G976*Assumptions!$B$5*J976,0)</f>
        <v/>
      </c>
    </row>
    <row r="977">
      <c r="A977" t="n">
        <v>893</v>
      </c>
      <c r="B977" t="inlineStr">
        <is>
          <t>Sales</t>
        </is>
      </c>
      <c r="C977" t="inlineStr">
        <is>
          <t>Sales Representative</t>
        </is>
      </c>
      <c r="D977" t="inlineStr">
        <is>
          <t>No</t>
        </is>
      </c>
      <c r="E977" s="8" t="n">
        <v>2899</v>
      </c>
      <c r="F977" s="8">
        <f>E977*Assumptions!$B$7</f>
        <v/>
      </c>
      <c r="G977" s="9" t="n">
        <v>0.0134</v>
      </c>
      <c r="H977" t="inlineStr">
        <is>
          <t>Low</t>
        </is>
      </c>
      <c r="I977">
        <f>IF(G977&gt;=Assumptions!$B$4,"Yes","No")</f>
        <v/>
      </c>
      <c r="J977" s="8">
        <f>F977*Assumptions!$B$6</f>
        <v/>
      </c>
      <c r="K977" s="10">
        <f>G977*J977</f>
        <v/>
      </c>
      <c r="L977" s="10">
        <f>IF(I977="Yes",G977*Assumptions!$B$5*J977,0)</f>
        <v/>
      </c>
    </row>
    <row r="978">
      <c r="A978" t="n">
        <v>972</v>
      </c>
      <c r="B978" t="inlineStr">
        <is>
          <t>Research &amp; Development</t>
        </is>
      </c>
      <c r="C978" t="inlineStr">
        <is>
          <t>Laboratory Technician</t>
        </is>
      </c>
      <c r="D978" t="inlineStr">
        <is>
          <t>No</t>
        </is>
      </c>
      <c r="E978" s="8" t="n">
        <v>4447</v>
      </c>
      <c r="F978" s="8">
        <f>E978*Assumptions!$B$7</f>
        <v/>
      </c>
      <c r="G978" s="9" t="n">
        <v>0.0134</v>
      </c>
      <c r="H978" t="inlineStr">
        <is>
          <t>Low</t>
        </is>
      </c>
      <c r="I978">
        <f>IF(G978&gt;=Assumptions!$B$4,"Yes","No")</f>
        <v/>
      </c>
      <c r="J978" s="8">
        <f>F978*Assumptions!$B$6</f>
        <v/>
      </c>
      <c r="K978" s="10">
        <f>G978*J978</f>
        <v/>
      </c>
      <c r="L978" s="10">
        <f>IF(I978="Yes",G978*Assumptions!$B$5*J978,0)</f>
        <v/>
      </c>
    </row>
    <row r="979">
      <c r="A979" t="n">
        <v>491</v>
      </c>
      <c r="B979" t="inlineStr">
        <is>
          <t>Research &amp; Development</t>
        </is>
      </c>
      <c r="C979" t="inlineStr">
        <is>
          <t>Healthcare Representative</t>
        </is>
      </c>
      <c r="D979" t="inlineStr">
        <is>
          <t>No</t>
        </is>
      </c>
      <c r="E979" s="8" t="n">
        <v>10496</v>
      </c>
      <c r="F979" s="8">
        <f>E979*Assumptions!$B$7</f>
        <v/>
      </c>
      <c r="G979" s="9" t="n">
        <v>0.0133</v>
      </c>
      <c r="H979" t="inlineStr">
        <is>
          <t>Low</t>
        </is>
      </c>
      <c r="I979">
        <f>IF(G979&gt;=Assumptions!$B$4,"Yes","No")</f>
        <v/>
      </c>
      <c r="J979" s="8">
        <f>F979*Assumptions!$B$6</f>
        <v/>
      </c>
      <c r="K979" s="10">
        <f>G979*J979</f>
        <v/>
      </c>
      <c r="L979" s="10">
        <f>IF(I979="Yes",G979*Assumptions!$B$5*J979,0)</f>
        <v/>
      </c>
    </row>
    <row r="980">
      <c r="A980" t="n">
        <v>2024</v>
      </c>
      <c r="B980" t="inlineStr">
        <is>
          <t>Sales</t>
        </is>
      </c>
      <c r="C980" t="inlineStr">
        <is>
          <t>Sales Executive</t>
        </is>
      </c>
      <c r="D980" t="inlineStr">
        <is>
          <t>No</t>
        </is>
      </c>
      <c r="E980" s="8" t="n">
        <v>7644</v>
      </c>
      <c r="F980" s="8">
        <f>E980*Assumptions!$B$7</f>
        <v/>
      </c>
      <c r="G980" s="9" t="n">
        <v>0.0133</v>
      </c>
      <c r="H980" t="inlineStr">
        <is>
          <t>Low</t>
        </is>
      </c>
      <c r="I980">
        <f>IF(G980&gt;=Assumptions!$B$4,"Yes","No")</f>
        <v/>
      </c>
      <c r="J980" s="8">
        <f>F980*Assumptions!$B$6</f>
        <v/>
      </c>
      <c r="K980" s="10">
        <f>G980*J980</f>
        <v/>
      </c>
      <c r="L980" s="10">
        <f>IF(I980="Yes",G980*Assumptions!$B$5*J980,0)</f>
        <v/>
      </c>
    </row>
    <row r="981">
      <c r="A981" t="n">
        <v>426</v>
      </c>
      <c r="B981" t="inlineStr">
        <is>
          <t>Research &amp; Development</t>
        </is>
      </c>
      <c r="C981" t="inlineStr">
        <is>
          <t>Research Scientist</t>
        </is>
      </c>
      <c r="D981" t="inlineStr">
        <is>
          <t>Yes</t>
        </is>
      </c>
      <c r="E981" s="8" t="n">
        <v>2695</v>
      </c>
      <c r="F981" s="8">
        <f>E981*Assumptions!$B$7</f>
        <v/>
      </c>
      <c r="G981" s="9" t="n">
        <v>0.0133</v>
      </c>
      <c r="H981" t="inlineStr">
        <is>
          <t>Low</t>
        </is>
      </c>
      <c r="I981">
        <f>IF(G981&gt;=Assumptions!$B$4,"Yes","No")</f>
        <v/>
      </c>
      <c r="J981" s="8">
        <f>F981*Assumptions!$B$6</f>
        <v/>
      </c>
      <c r="K981" s="10">
        <f>G981*J981</f>
        <v/>
      </c>
      <c r="L981" s="10">
        <f>IF(I981="Yes",G981*Assumptions!$B$5*J981,0)</f>
        <v/>
      </c>
    </row>
    <row r="982">
      <c r="A982" t="n">
        <v>1969</v>
      </c>
      <c r="B982" t="inlineStr">
        <is>
          <t>Research &amp; Development</t>
        </is>
      </c>
      <c r="C982" t="inlineStr">
        <is>
          <t>Research Scientist</t>
        </is>
      </c>
      <c r="D982" t="inlineStr">
        <is>
          <t>No</t>
        </is>
      </c>
      <c r="E982" s="8" t="n">
        <v>2897</v>
      </c>
      <c r="F982" s="8">
        <f>E982*Assumptions!$B$7</f>
        <v/>
      </c>
      <c r="G982" s="9" t="n">
        <v>0.013</v>
      </c>
      <c r="H982" t="inlineStr">
        <is>
          <t>Low</t>
        </is>
      </c>
      <c r="I982">
        <f>IF(G982&gt;=Assumptions!$B$4,"Yes","No")</f>
        <v/>
      </c>
      <c r="J982" s="8">
        <f>F982*Assumptions!$B$6</f>
        <v/>
      </c>
      <c r="K982" s="10">
        <f>G982*J982</f>
        <v/>
      </c>
      <c r="L982" s="10">
        <f>IF(I982="Yes",G982*Assumptions!$B$5*J982,0)</f>
        <v/>
      </c>
    </row>
    <row r="983">
      <c r="A983" t="n">
        <v>83</v>
      </c>
      <c r="B983" t="inlineStr">
        <is>
          <t>Research &amp; Development</t>
        </is>
      </c>
      <c r="C983" t="inlineStr">
        <is>
          <t>Healthcare Representative</t>
        </is>
      </c>
      <c r="D983" t="inlineStr">
        <is>
          <t>No</t>
        </is>
      </c>
      <c r="E983" s="8" t="n">
        <v>10096</v>
      </c>
      <c r="F983" s="8">
        <f>E983*Assumptions!$B$7</f>
        <v/>
      </c>
      <c r="G983" s="9" t="n">
        <v>0.013</v>
      </c>
      <c r="H983" t="inlineStr">
        <is>
          <t>Low</t>
        </is>
      </c>
      <c r="I983">
        <f>IF(G983&gt;=Assumptions!$B$4,"Yes","No")</f>
        <v/>
      </c>
      <c r="J983" s="8">
        <f>F983*Assumptions!$B$6</f>
        <v/>
      </c>
      <c r="K983" s="10">
        <f>G983*J983</f>
        <v/>
      </c>
      <c r="L983" s="10">
        <f>IF(I983="Yes",G983*Assumptions!$B$5*J983,0)</f>
        <v/>
      </c>
    </row>
    <row r="984">
      <c r="A984" t="n">
        <v>1497</v>
      </c>
      <c r="B984" t="inlineStr">
        <is>
          <t>Sales</t>
        </is>
      </c>
      <c r="C984" t="inlineStr">
        <is>
          <t>Sales Executive</t>
        </is>
      </c>
      <c r="D984" t="inlineStr">
        <is>
          <t>No</t>
        </is>
      </c>
      <c r="E984" s="8" t="n">
        <v>8620</v>
      </c>
      <c r="F984" s="8">
        <f>E984*Assumptions!$B$7</f>
        <v/>
      </c>
      <c r="G984" s="9" t="n">
        <v>0.0129</v>
      </c>
      <c r="H984" t="inlineStr">
        <is>
          <t>Low</t>
        </is>
      </c>
      <c r="I984">
        <f>IF(G984&gt;=Assumptions!$B$4,"Yes","No")</f>
        <v/>
      </c>
      <c r="J984" s="8">
        <f>F984*Assumptions!$B$6</f>
        <v/>
      </c>
      <c r="K984" s="10">
        <f>G984*J984</f>
        <v/>
      </c>
      <c r="L984" s="10">
        <f>IF(I984="Yes",G984*Assumptions!$B$5*J984,0)</f>
        <v/>
      </c>
    </row>
    <row r="985">
      <c r="A985" t="n">
        <v>139</v>
      </c>
      <c r="B985" t="inlineStr">
        <is>
          <t>Research &amp; Development</t>
        </is>
      </c>
      <c r="C985" t="inlineStr">
        <is>
          <t>Healthcare Representative</t>
        </is>
      </c>
      <c r="D985" t="inlineStr">
        <is>
          <t>No</t>
        </is>
      </c>
      <c r="E985" s="8" t="n">
        <v>5163</v>
      </c>
      <c r="F985" s="8">
        <f>E985*Assumptions!$B$7</f>
        <v/>
      </c>
      <c r="G985" s="9" t="n">
        <v>0.0128</v>
      </c>
      <c r="H985" t="inlineStr">
        <is>
          <t>Low</t>
        </is>
      </c>
      <c r="I985">
        <f>IF(G985&gt;=Assumptions!$B$4,"Yes","No")</f>
        <v/>
      </c>
      <c r="J985" s="8">
        <f>F985*Assumptions!$B$6</f>
        <v/>
      </c>
      <c r="K985" s="10">
        <f>G985*J985</f>
        <v/>
      </c>
      <c r="L985" s="10">
        <f>IF(I985="Yes",G985*Assumptions!$B$5*J985,0)</f>
        <v/>
      </c>
    </row>
    <row r="986">
      <c r="A986" t="n">
        <v>966</v>
      </c>
      <c r="B986" t="inlineStr">
        <is>
          <t>Research &amp; Development</t>
        </is>
      </c>
      <c r="C986" t="inlineStr">
        <is>
          <t>Manufacturing Director</t>
        </is>
      </c>
      <c r="D986" t="inlineStr">
        <is>
          <t>No</t>
        </is>
      </c>
      <c r="E986" s="8" t="n">
        <v>6725</v>
      </c>
      <c r="F986" s="8">
        <f>E986*Assumptions!$B$7</f>
        <v/>
      </c>
      <c r="G986" s="9" t="n">
        <v>0.0128</v>
      </c>
      <c r="H986" t="inlineStr">
        <is>
          <t>Low</t>
        </is>
      </c>
      <c r="I986">
        <f>IF(G986&gt;=Assumptions!$B$4,"Yes","No")</f>
        <v/>
      </c>
      <c r="J986" s="8">
        <f>F986*Assumptions!$B$6</f>
        <v/>
      </c>
      <c r="K986" s="10">
        <f>G986*J986</f>
        <v/>
      </c>
      <c r="L986" s="10">
        <f>IF(I986="Yes",G986*Assumptions!$B$5*J986,0)</f>
        <v/>
      </c>
    </row>
    <row r="987">
      <c r="A987" t="n">
        <v>1422</v>
      </c>
      <c r="B987" t="inlineStr">
        <is>
          <t>Research &amp; Development</t>
        </is>
      </c>
      <c r="C987" t="inlineStr">
        <is>
          <t>Research Director</t>
        </is>
      </c>
      <c r="D987" t="inlineStr">
        <is>
          <t>No</t>
        </is>
      </c>
      <c r="E987" s="8" t="n">
        <v>17328</v>
      </c>
      <c r="F987" s="8">
        <f>E987*Assumptions!$B$7</f>
        <v/>
      </c>
      <c r="G987" s="9" t="n">
        <v>0.0128</v>
      </c>
      <c r="H987" t="inlineStr">
        <is>
          <t>Low</t>
        </is>
      </c>
      <c r="I987">
        <f>IF(G987&gt;=Assumptions!$B$4,"Yes","No")</f>
        <v/>
      </c>
      <c r="J987" s="8">
        <f>F987*Assumptions!$B$6</f>
        <v/>
      </c>
      <c r="K987" s="10">
        <f>G987*J987</f>
        <v/>
      </c>
      <c r="L987" s="10">
        <f>IF(I987="Yes",G987*Assumptions!$B$5*J987,0)</f>
        <v/>
      </c>
    </row>
    <row r="988">
      <c r="A988" t="n">
        <v>499</v>
      </c>
      <c r="B988" t="inlineStr">
        <is>
          <t>Research &amp; Development</t>
        </is>
      </c>
      <c r="C988" t="inlineStr">
        <is>
          <t>Healthcare Representative</t>
        </is>
      </c>
      <c r="D988" t="inlineStr">
        <is>
          <t>No</t>
        </is>
      </c>
      <c r="E988" s="8" t="n">
        <v>10965</v>
      </c>
      <c r="F988" s="8">
        <f>E988*Assumptions!$B$7</f>
        <v/>
      </c>
      <c r="G988" s="9" t="n">
        <v>0.0127</v>
      </c>
      <c r="H988" t="inlineStr">
        <is>
          <t>Low</t>
        </is>
      </c>
      <c r="I988">
        <f>IF(G988&gt;=Assumptions!$B$4,"Yes","No")</f>
        <v/>
      </c>
      <c r="J988" s="8">
        <f>F988*Assumptions!$B$6</f>
        <v/>
      </c>
      <c r="K988" s="10">
        <f>G988*J988</f>
        <v/>
      </c>
      <c r="L988" s="10">
        <f>IF(I988="Yes",G988*Assumptions!$B$5*J988,0)</f>
        <v/>
      </c>
    </row>
    <row r="989">
      <c r="A989" t="n">
        <v>1722</v>
      </c>
      <c r="B989" t="inlineStr">
        <is>
          <t>Human Resources</t>
        </is>
      </c>
      <c r="C989" t="inlineStr">
        <is>
          <t>Human Resources</t>
        </is>
      </c>
      <c r="D989" t="inlineStr">
        <is>
          <t>No</t>
        </is>
      </c>
      <c r="E989" s="8" t="n">
        <v>6430</v>
      </c>
      <c r="F989" s="8">
        <f>E989*Assumptions!$B$7</f>
        <v/>
      </c>
      <c r="G989" s="9" t="n">
        <v>0.0127</v>
      </c>
      <c r="H989" t="inlineStr">
        <is>
          <t>Low</t>
        </is>
      </c>
      <c r="I989">
        <f>IF(G989&gt;=Assumptions!$B$4,"Yes","No")</f>
        <v/>
      </c>
      <c r="J989" s="8">
        <f>F989*Assumptions!$B$6</f>
        <v/>
      </c>
      <c r="K989" s="10">
        <f>G989*J989</f>
        <v/>
      </c>
      <c r="L989" s="10">
        <f>IF(I989="Yes",G989*Assumptions!$B$5*J989,0)</f>
        <v/>
      </c>
    </row>
    <row r="990">
      <c r="A990" t="n">
        <v>1764</v>
      </c>
      <c r="B990" t="inlineStr">
        <is>
          <t>Research &amp; Development</t>
        </is>
      </c>
      <c r="C990" t="inlineStr">
        <is>
          <t>Research Scientist</t>
        </is>
      </c>
      <c r="D990" t="inlineStr">
        <is>
          <t>No</t>
        </is>
      </c>
      <c r="E990" s="8" t="n">
        <v>2718</v>
      </c>
      <c r="F990" s="8">
        <f>E990*Assumptions!$B$7</f>
        <v/>
      </c>
      <c r="G990" s="9" t="n">
        <v>0.0126</v>
      </c>
      <c r="H990" t="inlineStr">
        <is>
          <t>Low</t>
        </is>
      </c>
      <c r="I990">
        <f>IF(G990&gt;=Assumptions!$B$4,"Yes","No")</f>
        <v/>
      </c>
      <c r="J990" s="8">
        <f>F990*Assumptions!$B$6</f>
        <v/>
      </c>
      <c r="K990" s="10">
        <f>G990*J990</f>
        <v/>
      </c>
      <c r="L990" s="10">
        <f>IF(I990="Yes",G990*Assumptions!$B$5*J990,0)</f>
        <v/>
      </c>
    </row>
    <row r="991">
      <c r="A991" t="n">
        <v>422</v>
      </c>
      <c r="B991" t="inlineStr">
        <is>
          <t>Research &amp; Development</t>
        </is>
      </c>
      <c r="C991" t="inlineStr">
        <is>
          <t>Healthcare Representative</t>
        </is>
      </c>
      <c r="D991" t="inlineStr">
        <is>
          <t>Yes</t>
        </is>
      </c>
      <c r="E991" s="8" t="n">
        <v>5660</v>
      </c>
      <c r="F991" s="8">
        <f>E991*Assumptions!$B$7</f>
        <v/>
      </c>
      <c r="G991" s="9" t="n">
        <v>0.0126</v>
      </c>
      <c r="H991" t="inlineStr">
        <is>
          <t>Low</t>
        </is>
      </c>
      <c r="I991">
        <f>IF(G991&gt;=Assumptions!$B$4,"Yes","No")</f>
        <v/>
      </c>
      <c r="J991" s="8">
        <f>F991*Assumptions!$B$6</f>
        <v/>
      </c>
      <c r="K991" s="10">
        <f>G991*J991</f>
        <v/>
      </c>
      <c r="L991" s="10">
        <f>IF(I991="Yes",G991*Assumptions!$B$5*J991,0)</f>
        <v/>
      </c>
    </row>
    <row r="992">
      <c r="A992" t="n">
        <v>1854</v>
      </c>
      <c r="B992" t="inlineStr">
        <is>
          <t>Research &amp; Development</t>
        </is>
      </c>
      <c r="C992" t="inlineStr">
        <is>
          <t>Research Scientist</t>
        </is>
      </c>
      <c r="D992" t="inlineStr">
        <is>
          <t>No</t>
        </is>
      </c>
      <c r="E992" s="8" t="n">
        <v>2936</v>
      </c>
      <c r="F992" s="8">
        <f>E992*Assumptions!$B$7</f>
        <v/>
      </c>
      <c r="G992" s="9" t="n">
        <v>0.0125</v>
      </c>
      <c r="H992" t="inlineStr">
        <is>
          <t>Low</t>
        </is>
      </c>
      <c r="I992">
        <f>IF(G992&gt;=Assumptions!$B$4,"Yes","No")</f>
        <v/>
      </c>
      <c r="J992" s="8">
        <f>F992*Assumptions!$B$6</f>
        <v/>
      </c>
      <c r="K992" s="10">
        <f>G992*J992</f>
        <v/>
      </c>
      <c r="L992" s="10">
        <f>IF(I992="Yes",G992*Assumptions!$B$5*J992,0)</f>
        <v/>
      </c>
    </row>
    <row r="993">
      <c r="A993" t="n">
        <v>126</v>
      </c>
      <c r="B993" t="inlineStr">
        <is>
          <t>Research &amp; Development</t>
        </is>
      </c>
      <c r="C993" t="inlineStr">
        <is>
          <t>Research Director</t>
        </is>
      </c>
      <c r="D993" t="inlineStr">
        <is>
          <t>No</t>
        </is>
      </c>
      <c r="E993" s="8" t="n">
        <v>13549</v>
      </c>
      <c r="F993" s="8">
        <f>E993*Assumptions!$B$7</f>
        <v/>
      </c>
      <c r="G993" s="9" t="n">
        <v>0.0124</v>
      </c>
      <c r="H993" t="inlineStr">
        <is>
          <t>Low</t>
        </is>
      </c>
      <c r="I993">
        <f>IF(G993&gt;=Assumptions!$B$4,"Yes","No")</f>
        <v/>
      </c>
      <c r="J993" s="8">
        <f>F993*Assumptions!$B$6</f>
        <v/>
      </c>
      <c r="K993" s="10">
        <f>G993*J993</f>
        <v/>
      </c>
      <c r="L993" s="10">
        <f>IF(I993="Yes",G993*Assumptions!$B$5*J993,0)</f>
        <v/>
      </c>
    </row>
    <row r="994">
      <c r="A994" t="n">
        <v>117</v>
      </c>
      <c r="B994" t="inlineStr">
        <is>
          <t>Research &amp; Development</t>
        </is>
      </c>
      <c r="C994" t="inlineStr">
        <is>
          <t>Healthcare Representative</t>
        </is>
      </c>
      <c r="D994" t="inlineStr">
        <is>
          <t>No</t>
        </is>
      </c>
      <c r="E994" s="8" t="n">
        <v>4152</v>
      </c>
      <c r="F994" s="8">
        <f>E994*Assumptions!$B$7</f>
        <v/>
      </c>
      <c r="G994" s="9" t="n">
        <v>0.0123</v>
      </c>
      <c r="H994" t="inlineStr">
        <is>
          <t>Low</t>
        </is>
      </c>
      <c r="I994">
        <f>IF(G994&gt;=Assumptions!$B$4,"Yes","No")</f>
        <v/>
      </c>
      <c r="J994" s="8">
        <f>F994*Assumptions!$B$6</f>
        <v/>
      </c>
      <c r="K994" s="10">
        <f>G994*J994</f>
        <v/>
      </c>
      <c r="L994" s="10">
        <f>IF(I994="Yes",G994*Assumptions!$B$5*J994,0)</f>
        <v/>
      </c>
    </row>
    <row r="995">
      <c r="A995" t="n">
        <v>1256</v>
      </c>
      <c r="B995" t="inlineStr">
        <is>
          <t>Research &amp; Development</t>
        </is>
      </c>
      <c r="C995" t="inlineStr">
        <is>
          <t>Manager</t>
        </is>
      </c>
      <c r="D995" t="inlineStr">
        <is>
          <t>No</t>
        </is>
      </c>
      <c r="E995" s="8" t="n">
        <v>18711</v>
      </c>
      <c r="F995" s="8">
        <f>E995*Assumptions!$B$7</f>
        <v/>
      </c>
      <c r="G995" s="9" t="n">
        <v>0.0123</v>
      </c>
      <c r="H995" t="inlineStr">
        <is>
          <t>Low</t>
        </is>
      </c>
      <c r="I995">
        <f>IF(G995&gt;=Assumptions!$B$4,"Yes","No")</f>
        <v/>
      </c>
      <c r="J995" s="8">
        <f>F995*Assumptions!$B$6</f>
        <v/>
      </c>
      <c r="K995" s="10">
        <f>G995*J995</f>
        <v/>
      </c>
      <c r="L995" s="10">
        <f>IF(I995="Yes",G995*Assumptions!$B$5*J995,0)</f>
        <v/>
      </c>
    </row>
    <row r="996">
      <c r="A996" t="n">
        <v>256</v>
      </c>
      <c r="B996" t="inlineStr">
        <is>
          <t>Research &amp; Development</t>
        </is>
      </c>
      <c r="C996" t="inlineStr">
        <is>
          <t>Manufacturing Director</t>
        </is>
      </c>
      <c r="D996" t="inlineStr">
        <is>
          <t>No</t>
        </is>
      </c>
      <c r="E996" s="8" t="n">
        <v>9547</v>
      </c>
      <c r="F996" s="8">
        <f>E996*Assumptions!$B$7</f>
        <v/>
      </c>
      <c r="G996" s="9" t="n">
        <v>0.0122</v>
      </c>
      <c r="H996" t="inlineStr">
        <is>
          <t>Low</t>
        </is>
      </c>
      <c r="I996">
        <f>IF(G996&gt;=Assumptions!$B$4,"Yes","No")</f>
        <v/>
      </c>
      <c r="J996" s="8">
        <f>F996*Assumptions!$B$6</f>
        <v/>
      </c>
      <c r="K996" s="10">
        <f>G996*J996</f>
        <v/>
      </c>
      <c r="L996" s="10">
        <f>IF(I996="Yes",G996*Assumptions!$B$5*J996,0)</f>
        <v/>
      </c>
    </row>
    <row r="997">
      <c r="A997" t="n">
        <v>381</v>
      </c>
      <c r="B997" t="inlineStr">
        <is>
          <t>Research &amp; Development</t>
        </is>
      </c>
      <c r="C997" t="inlineStr">
        <is>
          <t>Manager</t>
        </is>
      </c>
      <c r="D997" t="inlineStr">
        <is>
          <t>No</t>
        </is>
      </c>
      <c r="E997" s="8" t="n">
        <v>11996</v>
      </c>
      <c r="F997" s="8">
        <f>E997*Assumptions!$B$7</f>
        <v/>
      </c>
      <c r="G997" s="9" t="n">
        <v>0.0122</v>
      </c>
      <c r="H997" t="inlineStr">
        <is>
          <t>Low</t>
        </is>
      </c>
      <c r="I997">
        <f>IF(G997&gt;=Assumptions!$B$4,"Yes","No")</f>
        <v/>
      </c>
      <c r="J997" s="8">
        <f>F997*Assumptions!$B$6</f>
        <v/>
      </c>
      <c r="K997" s="10">
        <f>G997*J997</f>
        <v/>
      </c>
      <c r="L997" s="10">
        <f>IF(I997="Yes",G997*Assumptions!$B$5*J997,0)</f>
        <v/>
      </c>
    </row>
    <row r="998">
      <c r="A998" t="n">
        <v>714</v>
      </c>
      <c r="B998" t="inlineStr">
        <is>
          <t>Sales</t>
        </is>
      </c>
      <c r="C998" t="inlineStr">
        <is>
          <t>Sales Executive</t>
        </is>
      </c>
      <c r="D998" t="inlineStr">
        <is>
          <t>Yes</t>
        </is>
      </c>
      <c r="E998" s="8" t="n">
        <v>4647</v>
      </c>
      <c r="F998" s="8">
        <f>E998*Assumptions!$B$7</f>
        <v/>
      </c>
      <c r="G998" s="9" t="n">
        <v>0.0122</v>
      </c>
      <c r="H998" t="inlineStr">
        <is>
          <t>Low</t>
        </is>
      </c>
      <c r="I998">
        <f>IF(G998&gt;=Assumptions!$B$4,"Yes","No")</f>
        <v/>
      </c>
      <c r="J998" s="8">
        <f>F998*Assumptions!$B$6</f>
        <v/>
      </c>
      <c r="K998" s="10">
        <f>G998*J998</f>
        <v/>
      </c>
      <c r="L998" s="10">
        <f>IF(I998="Yes",G998*Assumptions!$B$5*J998,0)</f>
        <v/>
      </c>
    </row>
    <row r="999">
      <c r="A999" t="n">
        <v>21</v>
      </c>
      <c r="B999" t="inlineStr">
        <is>
          <t>Research &amp; Development</t>
        </is>
      </c>
      <c r="C999" t="inlineStr">
        <is>
          <t>Research Scientist</t>
        </is>
      </c>
      <c r="D999" t="inlineStr">
        <is>
          <t>Yes</t>
        </is>
      </c>
      <c r="E999" s="8" t="n">
        <v>3298</v>
      </c>
      <c r="F999" s="8">
        <f>E999*Assumptions!$B$7</f>
        <v/>
      </c>
      <c r="G999" s="9" t="n">
        <v>0.0122</v>
      </c>
      <c r="H999" t="inlineStr">
        <is>
          <t>Low</t>
        </is>
      </c>
      <c r="I999">
        <f>IF(G999&gt;=Assumptions!$B$4,"Yes","No")</f>
        <v/>
      </c>
      <c r="J999" s="8">
        <f>F999*Assumptions!$B$6</f>
        <v/>
      </c>
      <c r="K999" s="10">
        <f>G999*J999</f>
        <v/>
      </c>
      <c r="L999" s="10">
        <f>IF(I999="Yes",G999*Assumptions!$B$5*J999,0)</f>
        <v/>
      </c>
    </row>
    <row r="1000">
      <c r="A1000" t="n">
        <v>1847</v>
      </c>
      <c r="B1000" t="inlineStr">
        <is>
          <t>Research &amp; Development</t>
        </is>
      </c>
      <c r="C1000" t="inlineStr">
        <is>
          <t>Research Scientist</t>
        </is>
      </c>
      <c r="D1000" t="inlineStr">
        <is>
          <t>Yes</t>
        </is>
      </c>
      <c r="E1000" s="8" t="n">
        <v>6962</v>
      </c>
      <c r="F1000" s="8">
        <f>E1000*Assumptions!$B$7</f>
        <v/>
      </c>
      <c r="G1000" s="9" t="n">
        <v>0.0122</v>
      </c>
      <c r="H1000" t="inlineStr">
        <is>
          <t>Low</t>
        </is>
      </c>
      <c r="I1000">
        <f>IF(G1000&gt;=Assumptions!$B$4,"Yes","No")</f>
        <v/>
      </c>
      <c r="J1000" s="8">
        <f>F1000*Assumptions!$B$6</f>
        <v/>
      </c>
      <c r="K1000" s="10">
        <f>G1000*J1000</f>
        <v/>
      </c>
      <c r="L1000" s="10">
        <f>IF(I1000="Yes",G1000*Assumptions!$B$5*J1000,0)</f>
        <v/>
      </c>
    </row>
    <row r="1001">
      <c r="A1001" t="n">
        <v>1771</v>
      </c>
      <c r="B1001" t="inlineStr">
        <is>
          <t>Research &amp; Development</t>
        </is>
      </c>
      <c r="C1001" t="inlineStr">
        <is>
          <t>Research Scientist</t>
        </is>
      </c>
      <c r="D1001" t="inlineStr">
        <is>
          <t>No</t>
        </is>
      </c>
      <c r="E1001" s="8" t="n">
        <v>3055</v>
      </c>
      <c r="F1001" s="8">
        <f>E1001*Assumptions!$B$7</f>
        <v/>
      </c>
      <c r="G1001" s="9" t="n">
        <v>0.0121</v>
      </c>
      <c r="H1001" t="inlineStr">
        <is>
          <t>Low</t>
        </is>
      </c>
      <c r="I1001">
        <f>IF(G1001&gt;=Assumptions!$B$4,"Yes","No")</f>
        <v/>
      </c>
      <c r="J1001" s="8">
        <f>F1001*Assumptions!$B$6</f>
        <v/>
      </c>
      <c r="K1001" s="10">
        <f>G1001*J1001</f>
        <v/>
      </c>
      <c r="L1001" s="10">
        <f>IF(I1001="Yes",G1001*Assumptions!$B$5*J1001,0)</f>
        <v/>
      </c>
    </row>
    <row r="1002">
      <c r="A1002" t="n">
        <v>242</v>
      </c>
      <c r="B1002" t="inlineStr">
        <is>
          <t>Research &amp; Development</t>
        </is>
      </c>
      <c r="C1002" t="inlineStr">
        <is>
          <t>Research Scientist</t>
        </is>
      </c>
      <c r="D1002" t="inlineStr">
        <is>
          <t>No</t>
        </is>
      </c>
      <c r="E1002" s="8" t="n">
        <v>2500</v>
      </c>
      <c r="F1002" s="8">
        <f>E1002*Assumptions!$B$7</f>
        <v/>
      </c>
      <c r="G1002" s="9" t="n">
        <v>0.0121</v>
      </c>
      <c r="H1002" t="inlineStr">
        <is>
          <t>Low</t>
        </is>
      </c>
      <c r="I1002">
        <f>IF(G1002&gt;=Assumptions!$B$4,"Yes","No")</f>
        <v/>
      </c>
      <c r="J1002" s="8">
        <f>F1002*Assumptions!$B$6</f>
        <v/>
      </c>
      <c r="K1002" s="10">
        <f>G1002*J1002</f>
        <v/>
      </c>
      <c r="L1002" s="10">
        <f>IF(I1002="Yes",G1002*Assumptions!$B$5*J1002,0)</f>
        <v/>
      </c>
    </row>
    <row r="1003">
      <c r="A1003" t="n">
        <v>1241</v>
      </c>
      <c r="B1003" t="inlineStr">
        <is>
          <t>Research &amp; Development</t>
        </is>
      </c>
      <c r="C1003" t="inlineStr">
        <is>
          <t>Research Scientist</t>
        </is>
      </c>
      <c r="D1003" t="inlineStr">
        <is>
          <t>Yes</t>
        </is>
      </c>
      <c r="E1003" s="8" t="n">
        <v>3579</v>
      </c>
      <c r="F1003" s="8">
        <f>E1003*Assumptions!$B$7</f>
        <v/>
      </c>
      <c r="G1003" s="9" t="n">
        <v>0.012</v>
      </c>
      <c r="H1003" t="inlineStr">
        <is>
          <t>Low</t>
        </is>
      </c>
      <c r="I1003">
        <f>IF(G1003&gt;=Assumptions!$B$4,"Yes","No")</f>
        <v/>
      </c>
      <c r="J1003" s="8">
        <f>F1003*Assumptions!$B$6</f>
        <v/>
      </c>
      <c r="K1003" s="10">
        <f>G1003*J1003</f>
        <v/>
      </c>
      <c r="L1003" s="10">
        <f>IF(I1003="Yes",G1003*Assumptions!$B$5*J1003,0)</f>
        <v/>
      </c>
    </row>
    <row r="1004">
      <c r="A1004" t="n">
        <v>1195</v>
      </c>
      <c r="B1004" t="inlineStr">
        <is>
          <t>Research &amp; Development</t>
        </is>
      </c>
      <c r="C1004" t="inlineStr">
        <is>
          <t>Research Scientist</t>
        </is>
      </c>
      <c r="D1004" t="inlineStr">
        <is>
          <t>Yes</t>
        </is>
      </c>
      <c r="E1004" s="8" t="n">
        <v>4477</v>
      </c>
      <c r="F1004" s="8">
        <f>E1004*Assumptions!$B$7</f>
        <v/>
      </c>
      <c r="G1004" s="9" t="n">
        <v>0.0118</v>
      </c>
      <c r="H1004" t="inlineStr">
        <is>
          <t>Low</t>
        </is>
      </c>
      <c r="I1004">
        <f>IF(G1004&gt;=Assumptions!$B$4,"Yes","No")</f>
        <v/>
      </c>
      <c r="J1004" s="8">
        <f>F1004*Assumptions!$B$6</f>
        <v/>
      </c>
      <c r="K1004" s="10">
        <f>G1004*J1004</f>
        <v/>
      </c>
      <c r="L1004" s="10">
        <f>IF(I1004="Yes",G1004*Assumptions!$B$5*J1004,0)</f>
        <v/>
      </c>
    </row>
    <row r="1005">
      <c r="A1005" t="n">
        <v>372</v>
      </c>
      <c r="B1005" t="inlineStr">
        <is>
          <t>Research &amp; Development</t>
        </is>
      </c>
      <c r="C1005" t="inlineStr">
        <is>
          <t>Healthcare Representative</t>
        </is>
      </c>
      <c r="D1005" t="inlineStr">
        <is>
          <t>Yes</t>
        </is>
      </c>
      <c r="E1005" s="8" t="n">
        <v>13496</v>
      </c>
      <c r="F1005" s="8">
        <f>E1005*Assumptions!$B$7</f>
        <v/>
      </c>
      <c r="G1005" s="9" t="n">
        <v>0.0118</v>
      </c>
      <c r="H1005" t="inlineStr">
        <is>
          <t>Low</t>
        </is>
      </c>
      <c r="I1005">
        <f>IF(G1005&gt;=Assumptions!$B$4,"Yes","No")</f>
        <v/>
      </c>
      <c r="J1005" s="8">
        <f>F1005*Assumptions!$B$6</f>
        <v/>
      </c>
      <c r="K1005" s="10">
        <f>G1005*J1005</f>
        <v/>
      </c>
      <c r="L1005" s="10">
        <f>IF(I1005="Yes",G1005*Assumptions!$B$5*J1005,0)</f>
        <v/>
      </c>
    </row>
    <row r="1006">
      <c r="A1006" t="n">
        <v>292</v>
      </c>
      <c r="B1006" t="inlineStr">
        <is>
          <t>Research &amp; Development</t>
        </is>
      </c>
      <c r="C1006" t="inlineStr">
        <is>
          <t>Manufacturing Director</t>
        </is>
      </c>
      <c r="D1006" t="inlineStr">
        <is>
          <t>No</t>
        </is>
      </c>
      <c r="E1006" s="8" t="n">
        <v>8474</v>
      </c>
      <c r="F1006" s="8">
        <f>E1006*Assumptions!$B$7</f>
        <v/>
      </c>
      <c r="G1006" s="9" t="n">
        <v>0.0117</v>
      </c>
      <c r="H1006" t="inlineStr">
        <is>
          <t>Low</t>
        </is>
      </c>
      <c r="I1006">
        <f>IF(G1006&gt;=Assumptions!$B$4,"Yes","No")</f>
        <v/>
      </c>
      <c r="J1006" s="8">
        <f>F1006*Assumptions!$B$6</f>
        <v/>
      </c>
      <c r="K1006" s="10">
        <f>G1006*J1006</f>
        <v/>
      </c>
      <c r="L1006" s="10">
        <f>IF(I1006="Yes",G1006*Assumptions!$B$5*J1006,0)</f>
        <v/>
      </c>
    </row>
    <row r="1007">
      <c r="A1007" t="n">
        <v>178</v>
      </c>
      <c r="B1007" t="inlineStr">
        <is>
          <t>Research &amp; Development</t>
        </is>
      </c>
      <c r="C1007" t="inlineStr">
        <is>
          <t>Manufacturing Director</t>
        </is>
      </c>
      <c r="D1007" t="inlineStr">
        <is>
          <t>No</t>
        </is>
      </c>
      <c r="E1007" s="8" t="n">
        <v>4941</v>
      </c>
      <c r="F1007" s="8">
        <f>E1007*Assumptions!$B$7</f>
        <v/>
      </c>
      <c r="G1007" s="9" t="n">
        <v>0.0117</v>
      </c>
      <c r="H1007" t="inlineStr">
        <is>
          <t>Low</t>
        </is>
      </c>
      <c r="I1007">
        <f>IF(G1007&gt;=Assumptions!$B$4,"Yes","No")</f>
        <v/>
      </c>
      <c r="J1007" s="8">
        <f>F1007*Assumptions!$B$6</f>
        <v/>
      </c>
      <c r="K1007" s="10">
        <f>G1007*J1007</f>
        <v/>
      </c>
      <c r="L1007" s="10">
        <f>IF(I1007="Yes",G1007*Assumptions!$B$5*J1007,0)</f>
        <v/>
      </c>
    </row>
    <row r="1008">
      <c r="A1008" t="n">
        <v>887</v>
      </c>
      <c r="B1008" t="inlineStr">
        <is>
          <t>Research &amp; Development</t>
        </is>
      </c>
      <c r="C1008" t="inlineStr">
        <is>
          <t>Research Scientist</t>
        </is>
      </c>
      <c r="D1008" t="inlineStr">
        <is>
          <t>No</t>
        </is>
      </c>
      <c r="E1008" s="8" t="n">
        <v>3580</v>
      </c>
      <c r="F1008" s="8">
        <f>E1008*Assumptions!$B$7</f>
        <v/>
      </c>
      <c r="G1008" s="9" t="n">
        <v>0.0116</v>
      </c>
      <c r="H1008" t="inlineStr">
        <is>
          <t>Low</t>
        </is>
      </c>
      <c r="I1008">
        <f>IF(G1008&gt;=Assumptions!$B$4,"Yes","No")</f>
        <v/>
      </c>
      <c r="J1008" s="8">
        <f>F1008*Assumptions!$B$6</f>
        <v/>
      </c>
      <c r="K1008" s="10">
        <f>G1008*J1008</f>
        <v/>
      </c>
      <c r="L1008" s="10">
        <f>IF(I1008="Yes",G1008*Assumptions!$B$5*J1008,0)</f>
        <v/>
      </c>
    </row>
    <row r="1009">
      <c r="A1009" t="n">
        <v>1259</v>
      </c>
      <c r="B1009" t="inlineStr">
        <is>
          <t>Research &amp; Development</t>
        </is>
      </c>
      <c r="C1009" t="inlineStr">
        <is>
          <t>Research Scientist</t>
        </is>
      </c>
      <c r="D1009" t="inlineStr">
        <is>
          <t>No</t>
        </is>
      </c>
      <c r="E1009" s="8" t="n">
        <v>2517</v>
      </c>
      <c r="F1009" s="8">
        <f>E1009*Assumptions!$B$7</f>
        <v/>
      </c>
      <c r="G1009" s="9" t="n">
        <v>0.0116</v>
      </c>
      <c r="H1009" t="inlineStr">
        <is>
          <t>Low</t>
        </is>
      </c>
      <c r="I1009">
        <f>IF(G1009&gt;=Assumptions!$B$4,"Yes","No")</f>
        <v/>
      </c>
      <c r="J1009" s="8">
        <f>F1009*Assumptions!$B$6</f>
        <v/>
      </c>
      <c r="K1009" s="10">
        <f>G1009*J1009</f>
        <v/>
      </c>
      <c r="L1009" s="10">
        <f>IF(I1009="Yes",G1009*Assumptions!$B$5*J1009,0)</f>
        <v/>
      </c>
    </row>
    <row r="1010">
      <c r="A1010" t="n">
        <v>1911</v>
      </c>
      <c r="B1010" t="inlineStr">
        <is>
          <t>Research &amp; Development</t>
        </is>
      </c>
      <c r="C1010" t="inlineStr">
        <is>
          <t>Research Director</t>
        </is>
      </c>
      <c r="D1010" t="inlineStr">
        <is>
          <t>No</t>
        </is>
      </c>
      <c r="E1010" s="8" t="n">
        <v>13348</v>
      </c>
      <c r="F1010" s="8">
        <f>E1010*Assumptions!$B$7</f>
        <v/>
      </c>
      <c r="G1010" s="9" t="n">
        <v>0.0116</v>
      </c>
      <c r="H1010" t="inlineStr">
        <is>
          <t>Low</t>
        </is>
      </c>
      <c r="I1010">
        <f>IF(G1010&gt;=Assumptions!$B$4,"Yes","No")</f>
        <v/>
      </c>
      <c r="J1010" s="8">
        <f>F1010*Assumptions!$B$6</f>
        <v/>
      </c>
      <c r="K1010" s="10">
        <f>G1010*J1010</f>
        <v/>
      </c>
      <c r="L1010" s="10">
        <f>IF(I1010="Yes",G1010*Assumptions!$B$5*J1010,0)</f>
        <v/>
      </c>
    </row>
    <row r="1011">
      <c r="A1011" t="n">
        <v>1340</v>
      </c>
      <c r="B1011" t="inlineStr">
        <is>
          <t>Research &amp; Development</t>
        </is>
      </c>
      <c r="C1011" t="inlineStr">
        <is>
          <t>Research Scientist</t>
        </is>
      </c>
      <c r="D1011" t="inlineStr">
        <is>
          <t>No</t>
        </is>
      </c>
      <c r="E1011" s="8" t="n">
        <v>3544</v>
      </c>
      <c r="F1011" s="8">
        <f>E1011*Assumptions!$B$7</f>
        <v/>
      </c>
      <c r="G1011" s="9" t="n">
        <v>0.0115</v>
      </c>
      <c r="H1011" t="inlineStr">
        <is>
          <t>Low</t>
        </is>
      </c>
      <c r="I1011">
        <f>IF(G1011&gt;=Assumptions!$B$4,"Yes","No")</f>
        <v/>
      </c>
      <c r="J1011" s="8">
        <f>F1011*Assumptions!$B$6</f>
        <v/>
      </c>
      <c r="K1011" s="10">
        <f>G1011*J1011</f>
        <v/>
      </c>
      <c r="L1011" s="10">
        <f>IF(I1011="Yes",G1011*Assumptions!$B$5*J1011,0)</f>
        <v/>
      </c>
    </row>
    <row r="1012">
      <c r="A1012" t="n">
        <v>909</v>
      </c>
      <c r="B1012" t="inlineStr">
        <is>
          <t>Human Resources</t>
        </is>
      </c>
      <c r="C1012" t="inlineStr">
        <is>
          <t>Human Resources</t>
        </is>
      </c>
      <c r="D1012" t="inlineStr">
        <is>
          <t>No</t>
        </is>
      </c>
      <c r="E1012" s="8" t="n">
        <v>5204</v>
      </c>
      <c r="F1012" s="8">
        <f>E1012*Assumptions!$B$7</f>
        <v/>
      </c>
      <c r="G1012" s="9" t="n">
        <v>0.0115</v>
      </c>
      <c r="H1012" t="inlineStr">
        <is>
          <t>Low</t>
        </is>
      </c>
      <c r="I1012">
        <f>IF(G1012&gt;=Assumptions!$B$4,"Yes","No")</f>
        <v/>
      </c>
      <c r="J1012" s="8">
        <f>F1012*Assumptions!$B$6</f>
        <v/>
      </c>
      <c r="K1012" s="10">
        <f>G1012*J1012</f>
        <v/>
      </c>
      <c r="L1012" s="10">
        <f>IF(I1012="Yes",G1012*Assumptions!$B$5*J1012,0)</f>
        <v/>
      </c>
    </row>
    <row r="1013">
      <c r="A1013" t="n">
        <v>307</v>
      </c>
      <c r="B1013" t="inlineStr">
        <is>
          <t>Sales</t>
        </is>
      </c>
      <c r="C1013" t="inlineStr">
        <is>
          <t>Sales Executive</t>
        </is>
      </c>
      <c r="D1013" t="inlineStr">
        <is>
          <t>No</t>
        </is>
      </c>
      <c r="E1013" s="8" t="n">
        <v>10609</v>
      </c>
      <c r="F1013" s="8">
        <f>E1013*Assumptions!$B$7</f>
        <v/>
      </c>
      <c r="G1013" s="9" t="n">
        <v>0.0115</v>
      </c>
      <c r="H1013" t="inlineStr">
        <is>
          <t>Low</t>
        </is>
      </c>
      <c r="I1013">
        <f>IF(G1013&gt;=Assumptions!$B$4,"Yes","No")</f>
        <v/>
      </c>
      <c r="J1013" s="8">
        <f>F1013*Assumptions!$B$6</f>
        <v/>
      </c>
      <c r="K1013" s="10">
        <f>G1013*J1013</f>
        <v/>
      </c>
      <c r="L1013" s="10">
        <f>IF(I1013="Yes",G1013*Assumptions!$B$5*J1013,0)</f>
        <v/>
      </c>
    </row>
    <row r="1014">
      <c r="A1014" t="n">
        <v>249</v>
      </c>
      <c r="B1014" t="inlineStr">
        <is>
          <t>Research &amp; Development</t>
        </is>
      </c>
      <c r="C1014" t="inlineStr">
        <is>
          <t>Laboratory Technician</t>
        </is>
      </c>
      <c r="D1014" t="inlineStr">
        <is>
          <t>No</t>
        </is>
      </c>
      <c r="E1014" s="8" t="n">
        <v>3690</v>
      </c>
      <c r="F1014" s="8">
        <f>E1014*Assumptions!$B$7</f>
        <v/>
      </c>
      <c r="G1014" s="9" t="n">
        <v>0.0114</v>
      </c>
      <c r="H1014" t="inlineStr">
        <is>
          <t>Low</t>
        </is>
      </c>
      <c r="I1014">
        <f>IF(G1014&gt;=Assumptions!$B$4,"Yes","No")</f>
        <v/>
      </c>
      <c r="J1014" s="8">
        <f>F1014*Assumptions!$B$6</f>
        <v/>
      </c>
      <c r="K1014" s="10">
        <f>G1014*J1014</f>
        <v/>
      </c>
      <c r="L1014" s="10">
        <f>IF(I1014="Yes",G1014*Assumptions!$B$5*J1014,0)</f>
        <v/>
      </c>
    </row>
    <row r="1015">
      <c r="A1015" t="n">
        <v>312</v>
      </c>
      <c r="B1015" t="inlineStr">
        <is>
          <t>Sales</t>
        </is>
      </c>
      <c r="C1015" t="inlineStr">
        <is>
          <t>Sales Executive</t>
        </is>
      </c>
      <c r="D1015" t="inlineStr">
        <is>
          <t>No</t>
        </is>
      </c>
      <c r="E1015" s="8" t="n">
        <v>7918</v>
      </c>
      <c r="F1015" s="8">
        <f>E1015*Assumptions!$B$7</f>
        <v/>
      </c>
      <c r="G1015" s="9" t="n">
        <v>0.0114</v>
      </c>
      <c r="H1015" t="inlineStr">
        <is>
          <t>Low</t>
        </is>
      </c>
      <c r="I1015">
        <f>IF(G1015&gt;=Assumptions!$B$4,"Yes","No")</f>
        <v/>
      </c>
      <c r="J1015" s="8">
        <f>F1015*Assumptions!$B$6</f>
        <v/>
      </c>
      <c r="K1015" s="10">
        <f>G1015*J1015</f>
        <v/>
      </c>
      <c r="L1015" s="10">
        <f>IF(I1015="Yes",G1015*Assumptions!$B$5*J1015,0)</f>
        <v/>
      </c>
    </row>
    <row r="1016">
      <c r="A1016" t="n">
        <v>1367</v>
      </c>
      <c r="B1016" t="inlineStr">
        <is>
          <t>Research &amp; Development</t>
        </is>
      </c>
      <c r="C1016" t="inlineStr">
        <is>
          <t>Manufacturing Director</t>
        </is>
      </c>
      <c r="D1016" t="inlineStr">
        <is>
          <t>No</t>
        </is>
      </c>
      <c r="E1016" s="8" t="n">
        <v>13142</v>
      </c>
      <c r="F1016" s="8">
        <f>E1016*Assumptions!$B$7</f>
        <v/>
      </c>
      <c r="G1016" s="9" t="n">
        <v>0.0114</v>
      </c>
      <c r="H1016" t="inlineStr">
        <is>
          <t>Low</t>
        </is>
      </c>
      <c r="I1016">
        <f>IF(G1016&gt;=Assumptions!$B$4,"Yes","No")</f>
        <v/>
      </c>
      <c r="J1016" s="8">
        <f>F1016*Assumptions!$B$6</f>
        <v/>
      </c>
      <c r="K1016" s="10">
        <f>G1016*J1016</f>
        <v/>
      </c>
      <c r="L1016" s="10">
        <f>IF(I1016="Yes",G1016*Assumptions!$B$5*J1016,0)</f>
        <v/>
      </c>
    </row>
    <row r="1017">
      <c r="A1017" t="n">
        <v>1859</v>
      </c>
      <c r="B1017" t="inlineStr">
        <is>
          <t>Research &amp; Development</t>
        </is>
      </c>
      <c r="C1017" t="inlineStr">
        <is>
          <t>Healthcare Representative</t>
        </is>
      </c>
      <c r="D1017" t="inlineStr">
        <is>
          <t>No</t>
        </is>
      </c>
      <c r="E1017" s="8" t="n">
        <v>6384</v>
      </c>
      <c r="F1017" s="8">
        <f>E1017*Assumptions!$B$7</f>
        <v/>
      </c>
      <c r="G1017" s="9" t="n">
        <v>0.0113</v>
      </c>
      <c r="H1017" t="inlineStr">
        <is>
          <t>Low</t>
        </is>
      </c>
      <c r="I1017">
        <f>IF(G1017&gt;=Assumptions!$B$4,"Yes","No")</f>
        <v/>
      </c>
      <c r="J1017" s="8">
        <f>F1017*Assumptions!$B$6</f>
        <v/>
      </c>
      <c r="K1017" s="10">
        <f>G1017*J1017</f>
        <v/>
      </c>
      <c r="L1017" s="10">
        <f>IF(I1017="Yes",G1017*Assumptions!$B$5*J1017,0)</f>
        <v/>
      </c>
    </row>
    <row r="1018">
      <c r="A1018" t="n">
        <v>1291</v>
      </c>
      <c r="B1018" t="inlineStr">
        <is>
          <t>Research &amp; Development</t>
        </is>
      </c>
      <c r="C1018" t="inlineStr">
        <is>
          <t>Research Scientist</t>
        </is>
      </c>
      <c r="D1018" t="inlineStr">
        <is>
          <t>Yes</t>
        </is>
      </c>
      <c r="E1018" s="8" t="n">
        <v>3506</v>
      </c>
      <c r="F1018" s="8">
        <f>E1018*Assumptions!$B$7</f>
        <v/>
      </c>
      <c r="G1018" s="9" t="n">
        <v>0.0113</v>
      </c>
      <c r="H1018" t="inlineStr">
        <is>
          <t>Low</t>
        </is>
      </c>
      <c r="I1018">
        <f>IF(G1018&gt;=Assumptions!$B$4,"Yes","No")</f>
        <v/>
      </c>
      <c r="J1018" s="8">
        <f>F1018*Assumptions!$B$6</f>
        <v/>
      </c>
      <c r="K1018" s="10">
        <f>G1018*J1018</f>
        <v/>
      </c>
      <c r="L1018" s="10">
        <f>IF(I1018="Yes",G1018*Assumptions!$B$5*J1018,0)</f>
        <v/>
      </c>
    </row>
    <row r="1019">
      <c r="A1019" t="n">
        <v>571</v>
      </c>
      <c r="B1019" t="inlineStr">
        <is>
          <t>Research &amp; Development</t>
        </is>
      </c>
      <c r="C1019" t="inlineStr">
        <is>
          <t>Laboratory Technician</t>
        </is>
      </c>
      <c r="D1019" t="inlineStr">
        <is>
          <t>No</t>
        </is>
      </c>
      <c r="E1019" s="8" t="n">
        <v>2564</v>
      </c>
      <c r="F1019" s="8">
        <f>E1019*Assumptions!$B$7</f>
        <v/>
      </c>
      <c r="G1019" s="9" t="n">
        <v>0.0112</v>
      </c>
      <c r="H1019" t="inlineStr">
        <is>
          <t>Low</t>
        </is>
      </c>
      <c r="I1019">
        <f>IF(G1019&gt;=Assumptions!$B$4,"Yes","No")</f>
        <v/>
      </c>
      <c r="J1019" s="8">
        <f>F1019*Assumptions!$B$6</f>
        <v/>
      </c>
      <c r="K1019" s="10">
        <f>G1019*J1019</f>
        <v/>
      </c>
      <c r="L1019" s="10">
        <f>IF(I1019="Yes",G1019*Assumptions!$B$5*J1019,0)</f>
        <v/>
      </c>
    </row>
    <row r="1020">
      <c r="A1020" t="n">
        <v>1474</v>
      </c>
      <c r="B1020" t="inlineStr">
        <is>
          <t>Research &amp; Development</t>
        </is>
      </c>
      <c r="C1020" t="inlineStr">
        <is>
          <t>Research Scientist</t>
        </is>
      </c>
      <c r="D1020" t="inlineStr">
        <is>
          <t>No</t>
        </is>
      </c>
      <c r="E1020" s="8" t="n">
        <v>2345</v>
      </c>
      <c r="F1020" s="8">
        <f>E1020*Assumptions!$B$7</f>
        <v/>
      </c>
      <c r="G1020" s="9" t="n">
        <v>0.0112</v>
      </c>
      <c r="H1020" t="inlineStr">
        <is>
          <t>Low</t>
        </is>
      </c>
      <c r="I1020">
        <f>IF(G1020&gt;=Assumptions!$B$4,"Yes","No")</f>
        <v/>
      </c>
      <c r="J1020" s="8">
        <f>F1020*Assumptions!$B$6</f>
        <v/>
      </c>
      <c r="K1020" s="10">
        <f>G1020*J1020</f>
        <v/>
      </c>
      <c r="L1020" s="10">
        <f>IF(I1020="Yes",G1020*Assumptions!$B$5*J1020,0)</f>
        <v/>
      </c>
    </row>
    <row r="1021">
      <c r="A1021" t="n">
        <v>393</v>
      </c>
      <c r="B1021" t="inlineStr">
        <is>
          <t>Research &amp; Development</t>
        </is>
      </c>
      <c r="C1021" t="inlineStr">
        <is>
          <t>Healthcare Representative</t>
        </is>
      </c>
      <c r="D1021" t="inlineStr">
        <is>
          <t>No</t>
        </is>
      </c>
      <c r="E1021" s="8" t="n">
        <v>5745</v>
      </c>
      <c r="F1021" s="8">
        <f>E1021*Assumptions!$B$7</f>
        <v/>
      </c>
      <c r="G1021" s="9" t="n">
        <v>0.0111</v>
      </c>
      <c r="H1021" t="inlineStr">
        <is>
          <t>Low</t>
        </is>
      </c>
      <c r="I1021">
        <f>IF(G1021&gt;=Assumptions!$B$4,"Yes","No")</f>
        <v/>
      </c>
      <c r="J1021" s="8">
        <f>F1021*Assumptions!$B$6</f>
        <v/>
      </c>
      <c r="K1021" s="10">
        <f>G1021*J1021</f>
        <v/>
      </c>
      <c r="L1021" s="10">
        <f>IF(I1021="Yes",G1021*Assumptions!$B$5*J1021,0)</f>
        <v/>
      </c>
    </row>
    <row r="1022">
      <c r="A1022" t="n">
        <v>421</v>
      </c>
      <c r="B1022" t="inlineStr">
        <is>
          <t>Research &amp; Development</t>
        </is>
      </c>
      <c r="C1022" t="inlineStr">
        <is>
          <t>Research Director</t>
        </is>
      </c>
      <c r="D1022" t="inlineStr">
        <is>
          <t>No</t>
        </is>
      </c>
      <c r="E1022" s="8" t="n">
        <v>12061</v>
      </c>
      <c r="F1022" s="8">
        <f>E1022*Assumptions!$B$7</f>
        <v/>
      </c>
      <c r="G1022" s="9" t="n">
        <v>0.0111</v>
      </c>
      <c r="H1022" t="inlineStr">
        <is>
          <t>Low</t>
        </is>
      </c>
      <c r="I1022">
        <f>IF(G1022&gt;=Assumptions!$B$4,"Yes","No")</f>
        <v/>
      </c>
      <c r="J1022" s="8">
        <f>F1022*Assumptions!$B$6</f>
        <v/>
      </c>
      <c r="K1022" s="10">
        <f>G1022*J1022</f>
        <v/>
      </c>
      <c r="L1022" s="10">
        <f>IF(I1022="Yes",G1022*Assumptions!$B$5*J1022,0)</f>
        <v/>
      </c>
    </row>
    <row r="1023">
      <c r="A1023" t="n">
        <v>1623</v>
      </c>
      <c r="B1023" t="inlineStr">
        <is>
          <t>Research &amp; Development</t>
        </is>
      </c>
      <c r="C1023" t="inlineStr">
        <is>
          <t>Research Scientist</t>
        </is>
      </c>
      <c r="D1023" t="inlineStr">
        <is>
          <t>No</t>
        </is>
      </c>
      <c r="E1023" s="8" t="n">
        <v>3117</v>
      </c>
      <c r="F1023" s="8">
        <f>E1023*Assumptions!$B$7</f>
        <v/>
      </c>
      <c r="G1023" s="9" t="n">
        <v>0.011</v>
      </c>
      <c r="H1023" t="inlineStr">
        <is>
          <t>Low</t>
        </is>
      </c>
      <c r="I1023">
        <f>IF(G1023&gt;=Assumptions!$B$4,"Yes","No")</f>
        <v/>
      </c>
      <c r="J1023" s="8">
        <f>F1023*Assumptions!$B$6</f>
        <v/>
      </c>
      <c r="K1023" s="10">
        <f>G1023*J1023</f>
        <v/>
      </c>
      <c r="L1023" s="10">
        <f>IF(I1023="Yes",G1023*Assumptions!$B$5*J1023,0)</f>
        <v/>
      </c>
    </row>
    <row r="1024">
      <c r="A1024" t="n">
        <v>1666</v>
      </c>
      <c r="B1024" t="inlineStr">
        <is>
          <t>Research &amp; Development</t>
        </is>
      </c>
      <c r="C1024" t="inlineStr">
        <is>
          <t>Research Director</t>
        </is>
      </c>
      <c r="D1024" t="inlineStr">
        <is>
          <t>No</t>
        </is>
      </c>
      <c r="E1024" s="8" t="n">
        <v>17603</v>
      </c>
      <c r="F1024" s="8">
        <f>E1024*Assumptions!$B$7</f>
        <v/>
      </c>
      <c r="G1024" s="9" t="n">
        <v>0.011</v>
      </c>
      <c r="H1024" t="inlineStr">
        <is>
          <t>Low</t>
        </is>
      </c>
      <c r="I1024">
        <f>IF(G1024&gt;=Assumptions!$B$4,"Yes","No")</f>
        <v/>
      </c>
      <c r="J1024" s="8">
        <f>F1024*Assumptions!$B$6</f>
        <v/>
      </c>
      <c r="K1024" s="10">
        <f>G1024*J1024</f>
        <v/>
      </c>
      <c r="L1024" s="10">
        <f>IF(I1024="Yes",G1024*Assumptions!$B$5*J1024,0)</f>
        <v/>
      </c>
    </row>
    <row r="1025">
      <c r="A1025" t="n">
        <v>824</v>
      </c>
      <c r="B1025" t="inlineStr">
        <is>
          <t>Research &amp; Development</t>
        </is>
      </c>
      <c r="C1025" t="inlineStr">
        <is>
          <t>Research Scientist</t>
        </is>
      </c>
      <c r="D1025" t="inlineStr">
        <is>
          <t>No</t>
        </is>
      </c>
      <c r="E1025" s="8" t="n">
        <v>2700</v>
      </c>
      <c r="F1025" s="8">
        <f>E1025*Assumptions!$B$7</f>
        <v/>
      </c>
      <c r="G1025" s="9" t="n">
        <v>0.0109</v>
      </c>
      <c r="H1025" t="inlineStr">
        <is>
          <t>Low</t>
        </is>
      </c>
      <c r="I1025">
        <f>IF(G1025&gt;=Assumptions!$B$4,"Yes","No")</f>
        <v/>
      </c>
      <c r="J1025" s="8">
        <f>F1025*Assumptions!$B$6</f>
        <v/>
      </c>
      <c r="K1025" s="10">
        <f>G1025*J1025</f>
        <v/>
      </c>
      <c r="L1025" s="10">
        <f>IF(I1025="Yes",G1025*Assumptions!$B$5*J1025,0)</f>
        <v/>
      </c>
    </row>
    <row r="1026">
      <c r="A1026" t="n">
        <v>661</v>
      </c>
      <c r="B1026" t="inlineStr">
        <is>
          <t>Research &amp; Development</t>
        </is>
      </c>
      <c r="C1026" t="inlineStr">
        <is>
          <t>Research Director</t>
        </is>
      </c>
      <c r="D1026" t="inlineStr">
        <is>
          <t>Yes</t>
        </is>
      </c>
      <c r="E1026" s="8" t="n">
        <v>16627</v>
      </c>
      <c r="F1026" s="8">
        <f>E1026*Assumptions!$B$7</f>
        <v/>
      </c>
      <c r="G1026" s="9" t="n">
        <v>0.0109</v>
      </c>
      <c r="H1026" t="inlineStr">
        <is>
          <t>Low</t>
        </is>
      </c>
      <c r="I1026">
        <f>IF(G1026&gt;=Assumptions!$B$4,"Yes","No")</f>
        <v/>
      </c>
      <c r="J1026" s="8">
        <f>F1026*Assumptions!$B$6</f>
        <v/>
      </c>
      <c r="K1026" s="10">
        <f>G1026*J1026</f>
        <v/>
      </c>
      <c r="L1026" s="10">
        <f>IF(I1026="Yes",G1026*Assumptions!$B$5*J1026,0)</f>
        <v/>
      </c>
    </row>
    <row r="1027">
      <c r="A1027" t="n">
        <v>1598</v>
      </c>
      <c r="B1027" t="inlineStr">
        <is>
          <t>Sales</t>
        </is>
      </c>
      <c r="C1027" t="inlineStr">
        <is>
          <t>Sales Executive</t>
        </is>
      </c>
      <c r="D1027" t="inlineStr">
        <is>
          <t>No</t>
        </is>
      </c>
      <c r="E1027" s="8" t="n">
        <v>4639</v>
      </c>
      <c r="F1027" s="8">
        <f>E1027*Assumptions!$B$7</f>
        <v/>
      </c>
      <c r="G1027" s="9" t="n">
        <v>0.0108</v>
      </c>
      <c r="H1027" t="inlineStr">
        <is>
          <t>Low</t>
        </is>
      </c>
      <c r="I1027">
        <f>IF(G1027&gt;=Assumptions!$B$4,"Yes","No")</f>
        <v/>
      </c>
      <c r="J1027" s="8">
        <f>F1027*Assumptions!$B$6</f>
        <v/>
      </c>
      <c r="K1027" s="10">
        <f>G1027*J1027</f>
        <v/>
      </c>
      <c r="L1027" s="10">
        <f>IF(I1027="Yes",G1027*Assumptions!$B$5*J1027,0)</f>
        <v/>
      </c>
    </row>
    <row r="1028">
      <c r="A1028" t="n">
        <v>1109</v>
      </c>
      <c r="B1028" t="inlineStr">
        <is>
          <t>Research &amp; Development</t>
        </is>
      </c>
      <c r="C1028" t="inlineStr">
        <is>
          <t>Manager</t>
        </is>
      </c>
      <c r="D1028" t="inlineStr">
        <is>
          <t>No</t>
        </is>
      </c>
      <c r="E1028" s="8" t="n">
        <v>17665</v>
      </c>
      <c r="F1028" s="8">
        <f>E1028*Assumptions!$B$7</f>
        <v/>
      </c>
      <c r="G1028" s="9" t="n">
        <v>0.0107</v>
      </c>
      <c r="H1028" t="inlineStr">
        <is>
          <t>Low</t>
        </is>
      </c>
      <c r="I1028">
        <f>IF(G1028&gt;=Assumptions!$B$4,"Yes","No")</f>
        <v/>
      </c>
      <c r="J1028" s="8">
        <f>F1028*Assumptions!$B$6</f>
        <v/>
      </c>
      <c r="K1028" s="10">
        <f>G1028*J1028</f>
        <v/>
      </c>
      <c r="L1028" s="10">
        <f>IF(I1028="Yes",G1028*Assumptions!$B$5*J1028,0)</f>
        <v/>
      </c>
    </row>
    <row r="1029">
      <c r="A1029" t="n">
        <v>1080</v>
      </c>
      <c r="B1029" t="inlineStr">
        <is>
          <t>Research &amp; Development</t>
        </is>
      </c>
      <c r="C1029" t="inlineStr">
        <is>
          <t>Research Scientist</t>
        </is>
      </c>
      <c r="D1029" t="inlineStr">
        <is>
          <t>Yes</t>
        </is>
      </c>
      <c r="E1029" s="8" t="n">
        <v>4615</v>
      </c>
      <c r="F1029" s="8">
        <f>E1029*Assumptions!$B$7</f>
        <v/>
      </c>
      <c r="G1029" s="9" t="n">
        <v>0.0107</v>
      </c>
      <c r="H1029" t="inlineStr">
        <is>
          <t>Low</t>
        </is>
      </c>
      <c r="I1029">
        <f>IF(G1029&gt;=Assumptions!$B$4,"Yes","No")</f>
        <v/>
      </c>
      <c r="J1029" s="8">
        <f>F1029*Assumptions!$B$6</f>
        <v/>
      </c>
      <c r="K1029" s="10">
        <f>G1029*J1029</f>
        <v/>
      </c>
      <c r="L1029" s="10">
        <f>IF(I1029="Yes",G1029*Assumptions!$B$5*J1029,0)</f>
        <v/>
      </c>
    </row>
    <row r="1030">
      <c r="A1030" t="n">
        <v>725</v>
      </c>
      <c r="B1030" t="inlineStr">
        <is>
          <t>Research &amp; Development</t>
        </is>
      </c>
      <c r="C1030" t="inlineStr">
        <is>
          <t>Manufacturing Director</t>
        </is>
      </c>
      <c r="D1030" t="inlineStr">
        <is>
          <t>No</t>
        </is>
      </c>
      <c r="E1030" s="8" t="n">
        <v>7412</v>
      </c>
      <c r="F1030" s="8">
        <f>E1030*Assumptions!$B$7</f>
        <v/>
      </c>
      <c r="G1030" s="9" t="n">
        <v>0.0107</v>
      </c>
      <c r="H1030" t="inlineStr">
        <is>
          <t>Low</t>
        </is>
      </c>
      <c r="I1030">
        <f>IF(G1030&gt;=Assumptions!$B$4,"Yes","No")</f>
        <v/>
      </c>
      <c r="J1030" s="8">
        <f>F1030*Assumptions!$B$6</f>
        <v/>
      </c>
      <c r="K1030" s="10">
        <f>G1030*J1030</f>
        <v/>
      </c>
      <c r="L1030" s="10">
        <f>IF(I1030="Yes",G1030*Assumptions!$B$5*J1030,0)</f>
        <v/>
      </c>
    </row>
    <row r="1031">
      <c r="A1031" t="n">
        <v>623</v>
      </c>
      <c r="B1031" t="inlineStr">
        <is>
          <t>Research &amp; Development</t>
        </is>
      </c>
      <c r="C1031" t="inlineStr">
        <is>
          <t>Manufacturing Director</t>
        </is>
      </c>
      <c r="D1031" t="inlineStr">
        <is>
          <t>No</t>
        </is>
      </c>
      <c r="E1031" s="8" t="n">
        <v>7491</v>
      </c>
      <c r="F1031" s="8">
        <f>E1031*Assumptions!$B$7</f>
        <v/>
      </c>
      <c r="G1031" s="9" t="n">
        <v>0.0106</v>
      </c>
      <c r="H1031" t="inlineStr">
        <is>
          <t>Low</t>
        </is>
      </c>
      <c r="I1031">
        <f>IF(G1031&gt;=Assumptions!$B$4,"Yes","No")</f>
        <v/>
      </c>
      <c r="J1031" s="8">
        <f>F1031*Assumptions!$B$6</f>
        <v/>
      </c>
      <c r="K1031" s="10">
        <f>G1031*J1031</f>
        <v/>
      </c>
      <c r="L1031" s="10">
        <f>IF(I1031="Yes",G1031*Assumptions!$B$5*J1031,0)</f>
        <v/>
      </c>
    </row>
    <row r="1032">
      <c r="A1032" t="n">
        <v>1728</v>
      </c>
      <c r="B1032" t="inlineStr">
        <is>
          <t>Research &amp; Development</t>
        </is>
      </c>
      <c r="C1032" t="inlineStr">
        <is>
          <t>Manufacturing Director</t>
        </is>
      </c>
      <c r="D1032" t="inlineStr">
        <is>
          <t>No</t>
        </is>
      </c>
      <c r="E1032" s="8" t="n">
        <v>6883</v>
      </c>
      <c r="F1032" s="8">
        <f>E1032*Assumptions!$B$7</f>
        <v/>
      </c>
      <c r="G1032" s="9" t="n">
        <v>0.0106</v>
      </c>
      <c r="H1032" t="inlineStr">
        <is>
          <t>Low</t>
        </is>
      </c>
      <c r="I1032">
        <f>IF(G1032&gt;=Assumptions!$B$4,"Yes","No")</f>
        <v/>
      </c>
      <c r="J1032" s="8">
        <f>F1032*Assumptions!$B$6</f>
        <v/>
      </c>
      <c r="K1032" s="10">
        <f>G1032*J1032</f>
        <v/>
      </c>
      <c r="L1032" s="10">
        <f>IF(I1032="Yes",G1032*Assumptions!$B$5*J1032,0)</f>
        <v/>
      </c>
    </row>
    <row r="1033">
      <c r="A1033" t="n">
        <v>1737</v>
      </c>
      <c r="B1033" t="inlineStr">
        <is>
          <t>Research &amp; Development</t>
        </is>
      </c>
      <c r="C1033" t="inlineStr">
        <is>
          <t>Laboratory Technician</t>
        </is>
      </c>
      <c r="D1033" t="inlineStr">
        <is>
          <t>Yes</t>
        </is>
      </c>
      <c r="E1033" s="8" t="n">
        <v>6472</v>
      </c>
      <c r="F1033" s="8">
        <f>E1033*Assumptions!$B$7</f>
        <v/>
      </c>
      <c r="G1033" s="9" t="n">
        <v>0.0106</v>
      </c>
      <c r="H1033" t="inlineStr">
        <is>
          <t>Low</t>
        </is>
      </c>
      <c r="I1033">
        <f>IF(G1033&gt;=Assumptions!$B$4,"Yes","No")</f>
        <v/>
      </c>
      <c r="J1033" s="8">
        <f>F1033*Assumptions!$B$6</f>
        <v/>
      </c>
      <c r="K1033" s="10">
        <f>G1033*J1033</f>
        <v/>
      </c>
      <c r="L1033" s="10">
        <f>IF(I1033="Yes",G1033*Assumptions!$B$5*J1033,0)</f>
        <v/>
      </c>
    </row>
    <row r="1034">
      <c r="A1034" t="n">
        <v>544</v>
      </c>
      <c r="B1034" t="inlineStr">
        <is>
          <t>Research &amp; Development</t>
        </is>
      </c>
      <c r="C1034" t="inlineStr">
        <is>
          <t>Research Scientist</t>
        </is>
      </c>
      <c r="D1034" t="inlineStr">
        <is>
          <t>No</t>
        </is>
      </c>
      <c r="E1034" s="8" t="n">
        <v>2654</v>
      </c>
      <c r="F1034" s="8">
        <f>E1034*Assumptions!$B$7</f>
        <v/>
      </c>
      <c r="G1034" s="9" t="n">
        <v>0.0106</v>
      </c>
      <c r="H1034" t="inlineStr">
        <is>
          <t>Low</t>
        </is>
      </c>
      <c r="I1034">
        <f>IF(G1034&gt;=Assumptions!$B$4,"Yes","No")</f>
        <v/>
      </c>
      <c r="J1034" s="8">
        <f>F1034*Assumptions!$B$6</f>
        <v/>
      </c>
      <c r="K1034" s="10">
        <f>G1034*J1034</f>
        <v/>
      </c>
      <c r="L1034" s="10">
        <f>IF(I1034="Yes",G1034*Assumptions!$B$5*J1034,0)</f>
        <v/>
      </c>
    </row>
    <row r="1035">
      <c r="A1035" t="n">
        <v>327</v>
      </c>
      <c r="B1035" t="inlineStr">
        <is>
          <t>Sales</t>
        </is>
      </c>
      <c r="C1035" t="inlineStr">
        <is>
          <t>Manager</t>
        </is>
      </c>
      <c r="D1035" t="inlineStr">
        <is>
          <t>Yes</t>
        </is>
      </c>
      <c r="E1035" s="8" t="n">
        <v>16064</v>
      </c>
      <c r="F1035" s="8">
        <f>E1035*Assumptions!$B$7</f>
        <v/>
      </c>
      <c r="G1035" s="9" t="n">
        <v>0.0105</v>
      </c>
      <c r="H1035" t="inlineStr">
        <is>
          <t>Low</t>
        </is>
      </c>
      <c r="I1035">
        <f>IF(G1035&gt;=Assumptions!$B$4,"Yes","No")</f>
        <v/>
      </c>
      <c r="J1035" s="8">
        <f>F1035*Assumptions!$B$6</f>
        <v/>
      </c>
      <c r="K1035" s="10">
        <f>G1035*J1035</f>
        <v/>
      </c>
      <c r="L1035" s="10">
        <f>IF(I1035="Yes",G1035*Assumptions!$B$5*J1035,0)</f>
        <v/>
      </c>
    </row>
    <row r="1036">
      <c r="A1036" t="n">
        <v>460</v>
      </c>
      <c r="B1036" t="inlineStr">
        <is>
          <t>Research &amp; Development</t>
        </is>
      </c>
      <c r="C1036" t="inlineStr">
        <is>
          <t>Manufacturing Director</t>
        </is>
      </c>
      <c r="D1036" t="inlineStr">
        <is>
          <t>No</t>
        </is>
      </c>
      <c r="E1036" s="8" t="n">
        <v>6347</v>
      </c>
      <c r="F1036" s="8">
        <f>E1036*Assumptions!$B$7</f>
        <v/>
      </c>
      <c r="G1036" s="9" t="n">
        <v>0.0105</v>
      </c>
      <c r="H1036" t="inlineStr">
        <is>
          <t>Low</t>
        </is>
      </c>
      <c r="I1036">
        <f>IF(G1036&gt;=Assumptions!$B$4,"Yes","No")</f>
        <v/>
      </c>
      <c r="J1036" s="8">
        <f>F1036*Assumptions!$B$6</f>
        <v/>
      </c>
      <c r="K1036" s="10">
        <f>G1036*J1036</f>
        <v/>
      </c>
      <c r="L1036" s="10">
        <f>IF(I1036="Yes",G1036*Assumptions!$B$5*J1036,0)</f>
        <v/>
      </c>
    </row>
    <row r="1037">
      <c r="A1037" t="n">
        <v>1024</v>
      </c>
      <c r="B1037" t="inlineStr">
        <is>
          <t>Research &amp; Development</t>
        </is>
      </c>
      <c r="C1037" t="inlineStr">
        <is>
          <t>Healthcare Representative</t>
        </is>
      </c>
      <c r="D1037" t="inlineStr">
        <is>
          <t>No</t>
        </is>
      </c>
      <c r="E1037" s="8" t="n">
        <v>10999</v>
      </c>
      <c r="F1037" s="8">
        <f>E1037*Assumptions!$B$7</f>
        <v/>
      </c>
      <c r="G1037" s="9" t="n">
        <v>0.0105</v>
      </c>
      <c r="H1037" t="inlineStr">
        <is>
          <t>Low</t>
        </is>
      </c>
      <c r="I1037">
        <f>IF(G1037&gt;=Assumptions!$B$4,"Yes","No")</f>
        <v/>
      </c>
      <c r="J1037" s="8">
        <f>F1037*Assumptions!$B$6</f>
        <v/>
      </c>
      <c r="K1037" s="10">
        <f>G1037*J1037</f>
        <v/>
      </c>
      <c r="L1037" s="10">
        <f>IF(I1037="Yes",G1037*Assumptions!$B$5*J1037,0)</f>
        <v/>
      </c>
    </row>
    <row r="1038">
      <c r="A1038" t="n">
        <v>655</v>
      </c>
      <c r="B1038" t="inlineStr">
        <is>
          <t>Research &amp; Development</t>
        </is>
      </c>
      <c r="C1038" t="inlineStr">
        <is>
          <t>Research Scientist</t>
        </is>
      </c>
      <c r="D1038" t="inlineStr">
        <is>
          <t>No</t>
        </is>
      </c>
      <c r="E1038" s="8" t="n">
        <v>2187</v>
      </c>
      <c r="F1038" s="8">
        <f>E1038*Assumptions!$B$7</f>
        <v/>
      </c>
      <c r="G1038" s="9" t="n">
        <v>0.0104</v>
      </c>
      <c r="H1038" t="inlineStr">
        <is>
          <t>Low</t>
        </is>
      </c>
      <c r="I1038">
        <f>IF(G1038&gt;=Assumptions!$B$4,"Yes","No")</f>
        <v/>
      </c>
      <c r="J1038" s="8">
        <f>F1038*Assumptions!$B$6</f>
        <v/>
      </c>
      <c r="K1038" s="10">
        <f>G1038*J1038</f>
        <v/>
      </c>
      <c r="L1038" s="10">
        <f>IF(I1038="Yes",G1038*Assumptions!$B$5*J1038,0)</f>
        <v/>
      </c>
    </row>
    <row r="1039">
      <c r="A1039" t="n">
        <v>1382</v>
      </c>
      <c r="B1039" t="inlineStr">
        <is>
          <t>Research &amp; Development</t>
        </is>
      </c>
      <c r="C1039" t="inlineStr">
        <is>
          <t>Research Scientist</t>
        </is>
      </c>
      <c r="D1039" t="inlineStr">
        <is>
          <t>No</t>
        </is>
      </c>
      <c r="E1039" s="8" t="n">
        <v>2610</v>
      </c>
      <c r="F1039" s="8">
        <f>E1039*Assumptions!$B$7</f>
        <v/>
      </c>
      <c r="G1039" s="9" t="n">
        <v>0.0104</v>
      </c>
      <c r="H1039" t="inlineStr">
        <is>
          <t>Low</t>
        </is>
      </c>
      <c r="I1039">
        <f>IF(G1039&gt;=Assumptions!$B$4,"Yes","No")</f>
        <v/>
      </c>
      <c r="J1039" s="8">
        <f>F1039*Assumptions!$B$6</f>
        <v/>
      </c>
      <c r="K1039" s="10">
        <f>G1039*J1039</f>
        <v/>
      </c>
      <c r="L1039" s="10">
        <f>IF(I1039="Yes",G1039*Assumptions!$B$5*J1039,0)</f>
        <v/>
      </c>
    </row>
    <row r="1040">
      <c r="A1040" t="n">
        <v>551</v>
      </c>
      <c r="B1040" t="inlineStr">
        <is>
          <t>Research &amp; Development</t>
        </is>
      </c>
      <c r="C1040" t="inlineStr">
        <is>
          <t>Healthcare Representative</t>
        </is>
      </c>
      <c r="D1040" t="inlineStr">
        <is>
          <t>No</t>
        </is>
      </c>
      <c r="E1040" s="8" t="n">
        <v>4523</v>
      </c>
      <c r="F1040" s="8">
        <f>E1040*Assumptions!$B$7</f>
        <v/>
      </c>
      <c r="G1040" s="9" t="n">
        <v>0.0103</v>
      </c>
      <c r="H1040" t="inlineStr">
        <is>
          <t>Low</t>
        </is>
      </c>
      <c r="I1040">
        <f>IF(G1040&gt;=Assumptions!$B$4,"Yes","No")</f>
        <v/>
      </c>
      <c r="J1040" s="8">
        <f>F1040*Assumptions!$B$6</f>
        <v/>
      </c>
      <c r="K1040" s="10">
        <f>G1040*J1040</f>
        <v/>
      </c>
      <c r="L1040" s="10">
        <f>IF(I1040="Yes",G1040*Assumptions!$B$5*J1040,0)</f>
        <v/>
      </c>
    </row>
    <row r="1041">
      <c r="A1041" t="n">
        <v>1937</v>
      </c>
      <c r="B1041" t="inlineStr">
        <is>
          <t>Research &amp; Development</t>
        </is>
      </c>
      <c r="C1041" t="inlineStr">
        <is>
          <t>Research Scientist</t>
        </is>
      </c>
      <c r="D1041" t="inlineStr">
        <is>
          <t>Yes</t>
        </is>
      </c>
      <c r="E1041" s="8" t="n">
        <v>2133</v>
      </c>
      <c r="F1041" s="8">
        <f>E1041*Assumptions!$B$7</f>
        <v/>
      </c>
      <c r="G1041" s="9" t="n">
        <v>0.0102</v>
      </c>
      <c r="H1041" t="inlineStr">
        <is>
          <t>Low</t>
        </is>
      </c>
      <c r="I1041">
        <f>IF(G1041&gt;=Assumptions!$B$4,"Yes","No")</f>
        <v/>
      </c>
      <c r="J1041" s="8">
        <f>F1041*Assumptions!$B$6</f>
        <v/>
      </c>
      <c r="K1041" s="10">
        <f>G1041*J1041</f>
        <v/>
      </c>
      <c r="L1041" s="10">
        <f>IF(I1041="Yes",G1041*Assumptions!$B$5*J1041,0)</f>
        <v/>
      </c>
    </row>
    <row r="1042">
      <c r="A1042" t="n">
        <v>28</v>
      </c>
      <c r="B1042" t="inlineStr">
        <is>
          <t>Research &amp; Development</t>
        </is>
      </c>
      <c r="C1042" t="inlineStr">
        <is>
          <t>Research Director</t>
        </is>
      </c>
      <c r="D1042" t="inlineStr">
        <is>
          <t>No</t>
        </is>
      </c>
      <c r="E1042" s="8" t="n">
        <v>11994</v>
      </c>
      <c r="F1042" s="8">
        <f>E1042*Assumptions!$B$7</f>
        <v/>
      </c>
      <c r="G1042" s="9" t="n">
        <v>0.0102</v>
      </c>
      <c r="H1042" t="inlineStr">
        <is>
          <t>Low</t>
        </is>
      </c>
      <c r="I1042">
        <f>IF(G1042&gt;=Assumptions!$B$4,"Yes","No")</f>
        <v/>
      </c>
      <c r="J1042" s="8">
        <f>F1042*Assumptions!$B$6</f>
        <v/>
      </c>
      <c r="K1042" s="10">
        <f>G1042*J1042</f>
        <v/>
      </c>
      <c r="L1042" s="10">
        <f>IF(I1042="Yes",G1042*Assumptions!$B$5*J1042,0)</f>
        <v/>
      </c>
    </row>
    <row r="1043">
      <c r="A1043" t="n">
        <v>369</v>
      </c>
      <c r="B1043" t="inlineStr">
        <is>
          <t>Research &amp; Development</t>
        </is>
      </c>
      <c r="C1043" t="inlineStr">
        <is>
          <t>Healthcare Representative</t>
        </is>
      </c>
      <c r="D1043" t="inlineStr">
        <is>
          <t>No</t>
        </is>
      </c>
      <c r="E1043" s="8" t="n">
        <v>4000</v>
      </c>
      <c r="F1043" s="8">
        <f>E1043*Assumptions!$B$7</f>
        <v/>
      </c>
      <c r="G1043" s="9" t="n">
        <v>0.0102</v>
      </c>
      <c r="H1043" t="inlineStr">
        <is>
          <t>Low</t>
        </is>
      </c>
      <c r="I1043">
        <f>IF(G1043&gt;=Assumptions!$B$4,"Yes","No")</f>
        <v/>
      </c>
      <c r="J1043" s="8">
        <f>F1043*Assumptions!$B$6</f>
        <v/>
      </c>
      <c r="K1043" s="10">
        <f>G1043*J1043</f>
        <v/>
      </c>
      <c r="L1043" s="10">
        <f>IF(I1043="Yes",G1043*Assumptions!$B$5*J1043,0)</f>
        <v/>
      </c>
    </row>
    <row r="1044">
      <c r="A1044" t="n">
        <v>601</v>
      </c>
      <c r="B1044" t="inlineStr">
        <is>
          <t>Research &amp; Development</t>
        </is>
      </c>
      <c r="C1044" t="inlineStr">
        <is>
          <t>Manufacturing Director</t>
        </is>
      </c>
      <c r="D1044" t="inlineStr">
        <is>
          <t>No</t>
        </is>
      </c>
      <c r="E1044" s="8" t="n">
        <v>13237</v>
      </c>
      <c r="F1044" s="8">
        <f>E1044*Assumptions!$B$7</f>
        <v/>
      </c>
      <c r="G1044" s="9" t="n">
        <v>0.0102</v>
      </c>
      <c r="H1044" t="inlineStr">
        <is>
          <t>Low</t>
        </is>
      </c>
      <c r="I1044">
        <f>IF(G1044&gt;=Assumptions!$B$4,"Yes","No")</f>
        <v/>
      </c>
      <c r="J1044" s="8">
        <f>F1044*Assumptions!$B$6</f>
        <v/>
      </c>
      <c r="K1044" s="10">
        <f>G1044*J1044</f>
        <v/>
      </c>
      <c r="L1044" s="10">
        <f>IF(I1044="Yes",G1044*Assumptions!$B$5*J1044,0)</f>
        <v/>
      </c>
    </row>
    <row r="1045">
      <c r="A1045" t="n">
        <v>1363</v>
      </c>
      <c r="B1045" t="inlineStr">
        <is>
          <t>Research &amp; Development</t>
        </is>
      </c>
      <c r="C1045" t="inlineStr">
        <is>
          <t>Manufacturing Director</t>
        </is>
      </c>
      <c r="D1045" t="inlineStr">
        <is>
          <t>No</t>
        </is>
      </c>
      <c r="E1045" s="8" t="n">
        <v>7898</v>
      </c>
      <c r="F1045" s="8">
        <f>E1045*Assumptions!$B$7</f>
        <v/>
      </c>
      <c r="G1045" s="9" t="n">
        <v>0.0101</v>
      </c>
      <c r="H1045" t="inlineStr">
        <is>
          <t>Low</t>
        </is>
      </c>
      <c r="I1045">
        <f>IF(G1045&gt;=Assumptions!$B$4,"Yes","No")</f>
        <v/>
      </c>
      <c r="J1045" s="8">
        <f>F1045*Assumptions!$B$6</f>
        <v/>
      </c>
      <c r="K1045" s="10">
        <f>G1045*J1045</f>
        <v/>
      </c>
      <c r="L1045" s="10">
        <f>IF(I1045="Yes",G1045*Assumptions!$B$5*J1045,0)</f>
        <v/>
      </c>
    </row>
    <row r="1046">
      <c r="A1046" t="n">
        <v>420</v>
      </c>
      <c r="B1046" t="inlineStr">
        <is>
          <t>Sales</t>
        </is>
      </c>
      <c r="C1046" t="inlineStr">
        <is>
          <t>Sales Executive</t>
        </is>
      </c>
      <c r="D1046" t="inlineStr">
        <is>
          <t>No</t>
        </is>
      </c>
      <c r="E1046" s="8" t="n">
        <v>5484</v>
      </c>
      <c r="F1046" s="8">
        <f>E1046*Assumptions!$B$7</f>
        <v/>
      </c>
      <c r="G1046" s="9" t="n">
        <v>0.0101</v>
      </c>
      <c r="H1046" t="inlineStr">
        <is>
          <t>Low</t>
        </is>
      </c>
      <c r="I1046">
        <f>IF(G1046&gt;=Assumptions!$B$4,"Yes","No")</f>
        <v/>
      </c>
      <c r="J1046" s="8">
        <f>F1046*Assumptions!$B$6</f>
        <v/>
      </c>
      <c r="K1046" s="10">
        <f>G1046*J1046</f>
        <v/>
      </c>
      <c r="L1046" s="10">
        <f>IF(I1046="Yes",G1046*Assumptions!$B$5*J1046,0)</f>
        <v/>
      </c>
    </row>
    <row r="1047">
      <c r="A1047" t="n">
        <v>1044</v>
      </c>
      <c r="B1047" t="inlineStr">
        <is>
          <t>Sales</t>
        </is>
      </c>
      <c r="C1047" t="inlineStr">
        <is>
          <t>Sales Representative</t>
        </is>
      </c>
      <c r="D1047" t="inlineStr">
        <is>
          <t>No</t>
        </is>
      </c>
      <c r="E1047" s="8" t="n">
        <v>2342</v>
      </c>
      <c r="F1047" s="8">
        <f>E1047*Assumptions!$B$7</f>
        <v/>
      </c>
      <c r="G1047" s="9" t="n">
        <v>0.01</v>
      </c>
      <c r="H1047" t="inlineStr">
        <is>
          <t>Low</t>
        </is>
      </c>
      <c r="I1047">
        <f>IF(G1047&gt;=Assumptions!$B$4,"Yes","No")</f>
        <v/>
      </c>
      <c r="J1047" s="8">
        <f>F1047*Assumptions!$B$6</f>
        <v/>
      </c>
      <c r="K1047" s="10">
        <f>G1047*J1047</f>
        <v/>
      </c>
      <c r="L1047" s="10">
        <f>IF(I1047="Yes",G1047*Assumptions!$B$5*J1047,0)</f>
        <v/>
      </c>
    </row>
    <row r="1048">
      <c r="A1048" t="n">
        <v>1546</v>
      </c>
      <c r="B1048" t="inlineStr">
        <is>
          <t>Research &amp; Development</t>
        </is>
      </c>
      <c r="C1048" t="inlineStr">
        <is>
          <t>Research Scientist</t>
        </is>
      </c>
      <c r="D1048" t="inlineStr">
        <is>
          <t>No</t>
        </is>
      </c>
      <c r="E1048" s="8" t="n">
        <v>2132</v>
      </c>
      <c r="F1048" s="8">
        <f>E1048*Assumptions!$B$7</f>
        <v/>
      </c>
      <c r="G1048" s="9" t="n">
        <v>0.01</v>
      </c>
      <c r="H1048" t="inlineStr">
        <is>
          <t>Low</t>
        </is>
      </c>
      <c r="I1048">
        <f>IF(G1048&gt;=Assumptions!$B$4,"Yes","No")</f>
        <v/>
      </c>
      <c r="J1048" s="8">
        <f>F1048*Assumptions!$B$6</f>
        <v/>
      </c>
      <c r="K1048" s="10">
        <f>G1048*J1048</f>
        <v/>
      </c>
      <c r="L1048" s="10">
        <f>IF(I1048="Yes",G1048*Assumptions!$B$5*J1048,0)</f>
        <v/>
      </c>
    </row>
    <row r="1049">
      <c r="A1049" t="n">
        <v>40</v>
      </c>
      <c r="B1049" t="inlineStr">
        <is>
          <t>Research &amp; Development</t>
        </is>
      </c>
      <c r="C1049" t="inlineStr">
        <is>
          <t>Healthcare Representative</t>
        </is>
      </c>
      <c r="D1049" t="inlineStr">
        <is>
          <t>Yes</t>
        </is>
      </c>
      <c r="E1049" s="8" t="n">
        <v>6465</v>
      </c>
      <c r="F1049" s="8">
        <f>E1049*Assumptions!$B$7</f>
        <v/>
      </c>
      <c r="G1049" s="9" t="n">
        <v>0.009900000000000001</v>
      </c>
      <c r="H1049" t="inlineStr">
        <is>
          <t>Low</t>
        </is>
      </c>
      <c r="I1049">
        <f>IF(G1049&gt;=Assumptions!$B$4,"Yes","No")</f>
        <v/>
      </c>
      <c r="J1049" s="8">
        <f>F1049*Assumptions!$B$6</f>
        <v/>
      </c>
      <c r="K1049" s="10">
        <f>G1049*J1049</f>
        <v/>
      </c>
      <c r="L1049" s="10">
        <f>IF(I1049="Yes",G1049*Assumptions!$B$5*J1049,0)</f>
        <v/>
      </c>
    </row>
    <row r="1050">
      <c r="A1050" t="n">
        <v>107</v>
      </c>
      <c r="B1050" t="inlineStr">
        <is>
          <t>Research &amp; Development</t>
        </is>
      </c>
      <c r="C1050" t="inlineStr">
        <is>
          <t>Research Scientist</t>
        </is>
      </c>
      <c r="D1050" t="inlineStr">
        <is>
          <t>Yes</t>
        </is>
      </c>
      <c r="E1050" s="8" t="n">
        <v>5329</v>
      </c>
      <c r="F1050" s="8">
        <f>E1050*Assumptions!$B$7</f>
        <v/>
      </c>
      <c r="G1050" s="9" t="n">
        <v>0.009900000000000001</v>
      </c>
      <c r="H1050" t="inlineStr">
        <is>
          <t>Low</t>
        </is>
      </c>
      <c r="I1050">
        <f>IF(G1050&gt;=Assumptions!$B$4,"Yes","No")</f>
        <v/>
      </c>
      <c r="J1050" s="8">
        <f>F1050*Assumptions!$B$6</f>
        <v/>
      </c>
      <c r="K1050" s="10">
        <f>G1050*J1050</f>
        <v/>
      </c>
      <c r="L1050" s="10">
        <f>IF(I1050="Yes",G1050*Assumptions!$B$5*J1050,0)</f>
        <v/>
      </c>
    </row>
    <row r="1051">
      <c r="A1051" t="n">
        <v>1867</v>
      </c>
      <c r="B1051" t="inlineStr">
        <is>
          <t>Research &amp; Development</t>
        </is>
      </c>
      <c r="C1051" t="inlineStr">
        <is>
          <t>Research Director</t>
        </is>
      </c>
      <c r="D1051" t="inlineStr">
        <is>
          <t>No</t>
        </is>
      </c>
      <c r="E1051" s="8" t="n">
        <v>19665</v>
      </c>
      <c r="F1051" s="8">
        <f>E1051*Assumptions!$B$7</f>
        <v/>
      </c>
      <c r="G1051" s="9" t="n">
        <v>0.0097</v>
      </c>
      <c r="H1051" t="inlineStr">
        <is>
          <t>Low</t>
        </is>
      </c>
      <c r="I1051">
        <f>IF(G1051&gt;=Assumptions!$B$4,"Yes","No")</f>
        <v/>
      </c>
      <c r="J1051" s="8">
        <f>F1051*Assumptions!$B$6</f>
        <v/>
      </c>
      <c r="K1051" s="10">
        <f>G1051*J1051</f>
        <v/>
      </c>
      <c r="L1051" s="10">
        <f>IF(I1051="Yes",G1051*Assumptions!$B$5*J1051,0)</f>
        <v/>
      </c>
    </row>
    <row r="1052">
      <c r="A1052" t="n">
        <v>634</v>
      </c>
      <c r="B1052" t="inlineStr">
        <is>
          <t>Research &amp; Development</t>
        </is>
      </c>
      <c r="C1052" t="inlineStr">
        <is>
          <t>Healthcare Representative</t>
        </is>
      </c>
      <c r="D1052" t="inlineStr">
        <is>
          <t>No</t>
        </is>
      </c>
      <c r="E1052" s="8" t="n">
        <v>9824</v>
      </c>
      <c r="F1052" s="8">
        <f>E1052*Assumptions!$B$7</f>
        <v/>
      </c>
      <c r="G1052" s="9" t="n">
        <v>0.0095</v>
      </c>
      <c r="H1052" t="inlineStr">
        <is>
          <t>Low</t>
        </is>
      </c>
      <c r="I1052">
        <f>IF(G1052&gt;=Assumptions!$B$4,"Yes","No")</f>
        <v/>
      </c>
      <c r="J1052" s="8">
        <f>F1052*Assumptions!$B$6</f>
        <v/>
      </c>
      <c r="K1052" s="10">
        <f>G1052*J1052</f>
        <v/>
      </c>
      <c r="L1052" s="10">
        <f>IF(I1052="Yes",G1052*Assumptions!$B$5*J1052,0)</f>
        <v/>
      </c>
    </row>
    <row r="1053">
      <c r="A1053" t="n">
        <v>1268</v>
      </c>
      <c r="B1053" t="inlineStr">
        <is>
          <t>Sales</t>
        </is>
      </c>
      <c r="C1053" t="inlineStr">
        <is>
          <t>Sales Executive</t>
        </is>
      </c>
      <c r="D1053" t="inlineStr">
        <is>
          <t>Yes</t>
        </is>
      </c>
      <c r="E1053" s="8" t="n">
        <v>8380</v>
      </c>
      <c r="F1053" s="8">
        <f>E1053*Assumptions!$B$7</f>
        <v/>
      </c>
      <c r="G1053" s="9" t="n">
        <v>0.009299999999999999</v>
      </c>
      <c r="H1053" t="inlineStr">
        <is>
          <t>Low</t>
        </is>
      </c>
      <c r="I1053">
        <f>IF(G1053&gt;=Assumptions!$B$4,"Yes","No")</f>
        <v/>
      </c>
      <c r="J1053" s="8">
        <f>F1053*Assumptions!$B$6</f>
        <v/>
      </c>
      <c r="K1053" s="10">
        <f>G1053*J1053</f>
        <v/>
      </c>
      <c r="L1053" s="10">
        <f>IF(I1053="Yes",G1053*Assumptions!$B$5*J1053,0)</f>
        <v/>
      </c>
    </row>
    <row r="1054">
      <c r="A1054" t="n">
        <v>1873</v>
      </c>
      <c r="B1054" t="inlineStr">
        <is>
          <t>Research &amp; Development</t>
        </is>
      </c>
      <c r="C1054" t="inlineStr">
        <is>
          <t>Research Scientist</t>
        </is>
      </c>
      <c r="D1054" t="inlineStr">
        <is>
          <t>No</t>
        </is>
      </c>
      <c r="E1054" s="8" t="n">
        <v>2662</v>
      </c>
      <c r="F1054" s="8">
        <f>E1054*Assumptions!$B$7</f>
        <v/>
      </c>
      <c r="G1054" s="9" t="n">
        <v>0.0091</v>
      </c>
      <c r="H1054" t="inlineStr">
        <is>
          <t>Low</t>
        </is>
      </c>
      <c r="I1054">
        <f>IF(G1054&gt;=Assumptions!$B$4,"Yes","No")</f>
        <v/>
      </c>
      <c r="J1054" s="8">
        <f>F1054*Assumptions!$B$6</f>
        <v/>
      </c>
      <c r="K1054" s="10">
        <f>G1054*J1054</f>
        <v/>
      </c>
      <c r="L1054" s="10">
        <f>IF(I1054="Yes",G1054*Assumptions!$B$5*J1054,0)</f>
        <v/>
      </c>
    </row>
    <row r="1055">
      <c r="A1055" t="n">
        <v>1238</v>
      </c>
      <c r="B1055" t="inlineStr">
        <is>
          <t>Research &amp; Development</t>
        </is>
      </c>
      <c r="C1055" t="inlineStr">
        <is>
          <t>Research Scientist</t>
        </is>
      </c>
      <c r="D1055" t="inlineStr">
        <is>
          <t>No</t>
        </is>
      </c>
      <c r="E1055" s="8" t="n">
        <v>2781</v>
      </c>
      <c r="F1055" s="8">
        <f>E1055*Assumptions!$B$7</f>
        <v/>
      </c>
      <c r="G1055" s="9" t="n">
        <v>0.008999999999999999</v>
      </c>
      <c r="H1055" t="inlineStr">
        <is>
          <t>Low</t>
        </is>
      </c>
      <c r="I1055">
        <f>IF(G1055&gt;=Assumptions!$B$4,"Yes","No")</f>
        <v/>
      </c>
      <c r="J1055" s="8">
        <f>F1055*Assumptions!$B$6</f>
        <v/>
      </c>
      <c r="K1055" s="10">
        <f>G1055*J1055</f>
        <v/>
      </c>
      <c r="L1055" s="10">
        <f>IF(I1055="Yes",G1055*Assumptions!$B$5*J1055,0)</f>
        <v/>
      </c>
    </row>
    <row r="1056">
      <c r="A1056" t="n">
        <v>888</v>
      </c>
      <c r="B1056" t="inlineStr">
        <is>
          <t>Research &amp; Development</t>
        </is>
      </c>
      <c r="C1056" t="inlineStr">
        <is>
          <t>Laboratory Technician</t>
        </is>
      </c>
      <c r="D1056" t="inlineStr">
        <is>
          <t>No</t>
        </is>
      </c>
      <c r="E1056" s="8" t="n">
        <v>3162</v>
      </c>
      <c r="F1056" s="8">
        <f>E1056*Assumptions!$B$7</f>
        <v/>
      </c>
      <c r="G1056" s="9" t="n">
        <v>0.008999999999999999</v>
      </c>
      <c r="H1056" t="inlineStr">
        <is>
          <t>Low</t>
        </is>
      </c>
      <c r="I1056">
        <f>IF(G1056&gt;=Assumptions!$B$4,"Yes","No")</f>
        <v/>
      </c>
      <c r="J1056" s="8">
        <f>F1056*Assumptions!$B$6</f>
        <v/>
      </c>
      <c r="K1056" s="10">
        <f>G1056*J1056</f>
        <v/>
      </c>
      <c r="L1056" s="10">
        <f>IF(I1056="Yes",G1056*Assumptions!$B$5*J1056,0)</f>
        <v/>
      </c>
    </row>
    <row r="1057">
      <c r="A1057" t="n">
        <v>1355</v>
      </c>
      <c r="B1057" t="inlineStr">
        <is>
          <t>Sales</t>
        </is>
      </c>
      <c r="C1057" t="inlineStr">
        <is>
          <t>Sales Executive</t>
        </is>
      </c>
      <c r="D1057" t="inlineStr">
        <is>
          <t>No</t>
        </is>
      </c>
      <c r="E1057" s="8" t="n">
        <v>6893</v>
      </c>
      <c r="F1057" s="8">
        <f>E1057*Assumptions!$B$7</f>
        <v/>
      </c>
      <c r="G1057" s="9" t="n">
        <v>0.008999999999999999</v>
      </c>
      <c r="H1057" t="inlineStr">
        <is>
          <t>Low</t>
        </is>
      </c>
      <c r="I1057">
        <f>IF(G1057&gt;=Assumptions!$B$4,"Yes","No")</f>
        <v/>
      </c>
      <c r="J1057" s="8">
        <f>F1057*Assumptions!$B$6</f>
        <v/>
      </c>
      <c r="K1057" s="10">
        <f>G1057*J1057</f>
        <v/>
      </c>
      <c r="L1057" s="10">
        <f>IF(I1057="Yes",G1057*Assumptions!$B$5*J1057,0)</f>
        <v/>
      </c>
    </row>
    <row r="1058">
      <c r="A1058" t="n">
        <v>707</v>
      </c>
      <c r="B1058" t="inlineStr">
        <is>
          <t>Sales</t>
        </is>
      </c>
      <c r="C1058" t="inlineStr">
        <is>
          <t>Sales Executive</t>
        </is>
      </c>
      <c r="D1058" t="inlineStr">
        <is>
          <t>No</t>
        </is>
      </c>
      <c r="E1058" s="8" t="n">
        <v>4851</v>
      </c>
      <c r="F1058" s="8">
        <f>E1058*Assumptions!$B$7</f>
        <v/>
      </c>
      <c r="G1058" s="9" t="n">
        <v>0.0089</v>
      </c>
      <c r="H1058" t="inlineStr">
        <is>
          <t>Low</t>
        </is>
      </c>
      <c r="I1058">
        <f>IF(G1058&gt;=Assumptions!$B$4,"Yes","No")</f>
        <v/>
      </c>
      <c r="J1058" s="8">
        <f>F1058*Assumptions!$B$6</f>
        <v/>
      </c>
      <c r="K1058" s="10">
        <f>G1058*J1058</f>
        <v/>
      </c>
      <c r="L1058" s="10">
        <f>IF(I1058="Yes",G1058*Assumptions!$B$5*J1058,0)</f>
        <v/>
      </c>
    </row>
    <row r="1059">
      <c r="A1059" t="n">
        <v>1483</v>
      </c>
      <c r="B1059" t="inlineStr">
        <is>
          <t>Research &amp; Development</t>
        </is>
      </c>
      <c r="C1059" t="inlineStr">
        <is>
          <t>Research Scientist</t>
        </is>
      </c>
      <c r="D1059" t="inlineStr">
        <is>
          <t>No</t>
        </is>
      </c>
      <c r="E1059" s="8" t="n">
        <v>4900</v>
      </c>
      <c r="F1059" s="8">
        <f>E1059*Assumptions!$B$7</f>
        <v/>
      </c>
      <c r="G1059" s="9" t="n">
        <v>0.0089</v>
      </c>
      <c r="H1059" t="inlineStr">
        <is>
          <t>Low</t>
        </is>
      </c>
      <c r="I1059">
        <f>IF(G1059&gt;=Assumptions!$B$4,"Yes","No")</f>
        <v/>
      </c>
      <c r="J1059" s="8">
        <f>F1059*Assumptions!$B$6</f>
        <v/>
      </c>
      <c r="K1059" s="10">
        <f>G1059*J1059</f>
        <v/>
      </c>
      <c r="L1059" s="10">
        <f>IF(I1059="Yes",G1059*Assumptions!$B$5*J1059,0)</f>
        <v/>
      </c>
    </row>
    <row r="1060">
      <c r="A1060" t="n">
        <v>531</v>
      </c>
      <c r="B1060" t="inlineStr">
        <is>
          <t>Research &amp; Development</t>
        </is>
      </c>
      <c r="C1060" t="inlineStr">
        <is>
          <t>Manager</t>
        </is>
      </c>
      <c r="D1060" t="inlineStr">
        <is>
          <t>Yes</t>
        </is>
      </c>
      <c r="E1060" s="8" t="n">
        <v>19197</v>
      </c>
      <c r="F1060" s="8">
        <f>E1060*Assumptions!$B$7</f>
        <v/>
      </c>
      <c r="G1060" s="9" t="n">
        <v>0.008800000000000001</v>
      </c>
      <c r="H1060" t="inlineStr">
        <is>
          <t>Low</t>
        </is>
      </c>
      <c r="I1060">
        <f>IF(G1060&gt;=Assumptions!$B$4,"Yes","No")</f>
        <v/>
      </c>
      <c r="J1060" s="8">
        <f>F1060*Assumptions!$B$6</f>
        <v/>
      </c>
      <c r="K1060" s="10">
        <f>G1060*J1060</f>
        <v/>
      </c>
      <c r="L1060" s="10">
        <f>IF(I1060="Yes",G1060*Assumptions!$B$5*J1060,0)</f>
        <v/>
      </c>
    </row>
    <row r="1061">
      <c r="A1061" t="n">
        <v>1590</v>
      </c>
      <c r="B1061" t="inlineStr">
        <is>
          <t>Research &amp; Development</t>
        </is>
      </c>
      <c r="C1061" t="inlineStr">
        <is>
          <t>Healthcare Representative</t>
        </is>
      </c>
      <c r="D1061" t="inlineStr">
        <is>
          <t>No</t>
        </is>
      </c>
      <c r="E1061" s="8" t="n">
        <v>8853</v>
      </c>
      <c r="F1061" s="8">
        <f>E1061*Assumptions!$B$7</f>
        <v/>
      </c>
      <c r="G1061" s="9" t="n">
        <v>0.008500000000000001</v>
      </c>
      <c r="H1061" t="inlineStr">
        <is>
          <t>Low</t>
        </is>
      </c>
      <c r="I1061">
        <f>IF(G1061&gt;=Assumptions!$B$4,"Yes","No")</f>
        <v/>
      </c>
      <c r="J1061" s="8">
        <f>F1061*Assumptions!$B$6</f>
        <v/>
      </c>
      <c r="K1061" s="10">
        <f>G1061*J1061</f>
        <v/>
      </c>
      <c r="L1061" s="10">
        <f>IF(I1061="Yes",G1061*Assumptions!$B$5*J1061,0)</f>
        <v/>
      </c>
    </row>
    <row r="1062">
      <c r="A1062" t="n">
        <v>1099</v>
      </c>
      <c r="B1062" t="inlineStr">
        <is>
          <t>Research &amp; Development</t>
        </is>
      </c>
      <c r="C1062" t="inlineStr">
        <is>
          <t>Healthcare Representative</t>
        </is>
      </c>
      <c r="D1062" t="inlineStr">
        <is>
          <t>No</t>
        </is>
      </c>
      <c r="E1062" s="8" t="n">
        <v>7119</v>
      </c>
      <c r="F1062" s="8">
        <f>E1062*Assumptions!$B$7</f>
        <v/>
      </c>
      <c r="G1062" s="9" t="n">
        <v>0.008500000000000001</v>
      </c>
      <c r="H1062" t="inlineStr">
        <is>
          <t>Low</t>
        </is>
      </c>
      <c r="I1062">
        <f>IF(G1062&gt;=Assumptions!$B$4,"Yes","No")</f>
        <v/>
      </c>
      <c r="J1062" s="8">
        <f>F1062*Assumptions!$B$6</f>
        <v/>
      </c>
      <c r="K1062" s="10">
        <f>G1062*J1062</f>
        <v/>
      </c>
      <c r="L1062" s="10">
        <f>IF(I1062="Yes",G1062*Assumptions!$B$5*J1062,0)</f>
        <v/>
      </c>
    </row>
    <row r="1063">
      <c r="A1063" t="n">
        <v>1955</v>
      </c>
      <c r="B1063" t="inlineStr">
        <is>
          <t>Research &amp; Development</t>
        </is>
      </c>
      <c r="C1063" t="inlineStr">
        <is>
          <t>Healthcare Representative</t>
        </is>
      </c>
      <c r="D1063" t="inlineStr">
        <is>
          <t>No</t>
        </is>
      </c>
      <c r="E1063" s="8" t="n">
        <v>6667</v>
      </c>
      <c r="F1063" s="8">
        <f>E1063*Assumptions!$B$7</f>
        <v/>
      </c>
      <c r="G1063" s="9" t="n">
        <v>0.008500000000000001</v>
      </c>
      <c r="H1063" t="inlineStr">
        <is>
          <t>Low</t>
        </is>
      </c>
      <c r="I1063">
        <f>IF(G1063&gt;=Assumptions!$B$4,"Yes","No")</f>
        <v/>
      </c>
      <c r="J1063" s="8">
        <f>F1063*Assumptions!$B$6</f>
        <v/>
      </c>
      <c r="K1063" s="10">
        <f>G1063*J1063</f>
        <v/>
      </c>
      <c r="L1063" s="10">
        <f>IF(I1063="Yes",G1063*Assumptions!$B$5*J1063,0)</f>
        <v/>
      </c>
    </row>
    <row r="1064">
      <c r="A1064" t="n">
        <v>350</v>
      </c>
      <c r="B1064" t="inlineStr">
        <is>
          <t>Research &amp; Development</t>
        </is>
      </c>
      <c r="C1064" t="inlineStr">
        <is>
          <t>Manufacturing Director</t>
        </is>
      </c>
      <c r="D1064" t="inlineStr">
        <is>
          <t>No</t>
        </is>
      </c>
      <c r="E1064" s="8" t="n">
        <v>4898</v>
      </c>
      <c r="F1064" s="8">
        <f>E1064*Assumptions!$B$7</f>
        <v/>
      </c>
      <c r="G1064" s="9" t="n">
        <v>0.008399999999999999</v>
      </c>
      <c r="H1064" t="inlineStr">
        <is>
          <t>Low</t>
        </is>
      </c>
      <c r="I1064">
        <f>IF(G1064&gt;=Assumptions!$B$4,"Yes","No")</f>
        <v/>
      </c>
      <c r="J1064" s="8">
        <f>F1064*Assumptions!$B$6</f>
        <v/>
      </c>
      <c r="K1064" s="10">
        <f>G1064*J1064</f>
        <v/>
      </c>
      <c r="L1064" s="10">
        <f>IF(I1064="Yes",G1064*Assumptions!$B$5*J1064,0)</f>
        <v/>
      </c>
    </row>
    <row r="1065">
      <c r="A1065" t="n">
        <v>1595</v>
      </c>
      <c r="B1065" t="inlineStr">
        <is>
          <t>Research &amp; Development</t>
        </is>
      </c>
      <c r="C1065" t="inlineStr">
        <is>
          <t>Manager</t>
        </is>
      </c>
      <c r="D1065" t="inlineStr">
        <is>
          <t>No</t>
        </is>
      </c>
      <c r="E1065" s="8" t="n">
        <v>19613</v>
      </c>
      <c r="F1065" s="8">
        <f>E1065*Assumptions!$B$7</f>
        <v/>
      </c>
      <c r="G1065" s="9" t="n">
        <v>0.008200000000000001</v>
      </c>
      <c r="H1065" t="inlineStr">
        <is>
          <t>Low</t>
        </is>
      </c>
      <c r="I1065">
        <f>IF(G1065&gt;=Assumptions!$B$4,"Yes","No")</f>
        <v/>
      </c>
      <c r="J1065" s="8">
        <f>F1065*Assumptions!$B$6</f>
        <v/>
      </c>
      <c r="K1065" s="10">
        <f>G1065*J1065</f>
        <v/>
      </c>
      <c r="L1065" s="10">
        <f>IF(I1065="Yes",G1065*Assumptions!$B$5*J1065,0)</f>
        <v/>
      </c>
    </row>
    <row r="1066">
      <c r="A1066" t="n">
        <v>1651</v>
      </c>
      <c r="B1066" t="inlineStr">
        <is>
          <t>Research &amp; Development</t>
        </is>
      </c>
      <c r="C1066" t="inlineStr">
        <is>
          <t>Healthcare Representative</t>
        </is>
      </c>
      <c r="D1066" t="inlineStr">
        <is>
          <t>No</t>
        </is>
      </c>
      <c r="E1066" s="8" t="n">
        <v>8008</v>
      </c>
      <c r="F1066" s="8">
        <f>E1066*Assumptions!$B$7</f>
        <v/>
      </c>
      <c r="G1066" s="9" t="n">
        <v>0.008200000000000001</v>
      </c>
      <c r="H1066" t="inlineStr">
        <is>
          <t>Low</t>
        </is>
      </c>
      <c r="I1066">
        <f>IF(G1066&gt;=Assumptions!$B$4,"Yes","No")</f>
        <v/>
      </c>
      <c r="J1066" s="8">
        <f>F1066*Assumptions!$B$6</f>
        <v/>
      </c>
      <c r="K1066" s="10">
        <f>G1066*J1066</f>
        <v/>
      </c>
      <c r="L1066" s="10">
        <f>IF(I1066="Yes",G1066*Assumptions!$B$5*J1066,0)</f>
        <v/>
      </c>
    </row>
    <row r="1067">
      <c r="A1067" t="n">
        <v>429</v>
      </c>
      <c r="B1067" t="inlineStr">
        <is>
          <t>Research &amp; Development</t>
        </is>
      </c>
      <c r="C1067" t="inlineStr">
        <is>
          <t>Manager</t>
        </is>
      </c>
      <c r="D1067" t="inlineStr">
        <is>
          <t>Yes</t>
        </is>
      </c>
      <c r="E1067" s="8" t="n">
        <v>17068</v>
      </c>
      <c r="F1067" s="8">
        <f>E1067*Assumptions!$B$7</f>
        <v/>
      </c>
      <c r="G1067" s="9" t="n">
        <v>0.008200000000000001</v>
      </c>
      <c r="H1067" t="inlineStr">
        <is>
          <t>Low</t>
        </is>
      </c>
      <c r="I1067">
        <f>IF(G1067&gt;=Assumptions!$B$4,"Yes","No")</f>
        <v/>
      </c>
      <c r="J1067" s="8">
        <f>F1067*Assumptions!$B$6</f>
        <v/>
      </c>
      <c r="K1067" s="10">
        <f>G1067*J1067</f>
        <v/>
      </c>
      <c r="L1067" s="10">
        <f>IF(I1067="Yes",G1067*Assumptions!$B$5*J1067,0)</f>
        <v/>
      </c>
    </row>
    <row r="1068">
      <c r="A1068" t="n">
        <v>2052</v>
      </c>
      <c r="B1068" t="inlineStr">
        <is>
          <t>Research &amp; Development</t>
        </is>
      </c>
      <c r="C1068" t="inlineStr">
        <is>
          <t>Research Scientist</t>
        </is>
      </c>
      <c r="D1068" t="inlineStr">
        <is>
          <t>No</t>
        </is>
      </c>
      <c r="E1068" s="8" t="n">
        <v>2977</v>
      </c>
      <c r="F1068" s="8">
        <f>E1068*Assumptions!$B$7</f>
        <v/>
      </c>
      <c r="G1068" s="9" t="n">
        <v>0.008200000000000001</v>
      </c>
      <c r="H1068" t="inlineStr">
        <is>
          <t>Low</t>
        </is>
      </c>
      <c r="I1068">
        <f>IF(G1068&gt;=Assumptions!$B$4,"Yes","No")</f>
        <v/>
      </c>
      <c r="J1068" s="8">
        <f>F1068*Assumptions!$B$6</f>
        <v/>
      </c>
      <c r="K1068" s="10">
        <f>G1068*J1068</f>
        <v/>
      </c>
      <c r="L1068" s="10">
        <f>IF(I1068="Yes",G1068*Assumptions!$B$5*J1068,0)</f>
        <v/>
      </c>
    </row>
    <row r="1069">
      <c r="A1069" t="n">
        <v>820</v>
      </c>
      <c r="B1069" t="inlineStr">
        <is>
          <t>Research &amp; Development</t>
        </is>
      </c>
      <c r="C1069" t="inlineStr">
        <is>
          <t>Manager</t>
        </is>
      </c>
      <c r="D1069" t="inlineStr">
        <is>
          <t>Yes</t>
        </is>
      </c>
      <c r="E1069" s="8" t="n">
        <v>16752</v>
      </c>
      <c r="F1069" s="8">
        <f>E1069*Assumptions!$B$7</f>
        <v/>
      </c>
      <c r="G1069" s="9" t="n">
        <v>0.0081</v>
      </c>
      <c r="H1069" t="inlineStr">
        <is>
          <t>Low</t>
        </is>
      </c>
      <c r="I1069">
        <f>IF(G1069&gt;=Assumptions!$B$4,"Yes","No")</f>
        <v/>
      </c>
      <c r="J1069" s="8">
        <f>F1069*Assumptions!$B$6</f>
        <v/>
      </c>
      <c r="K1069" s="10">
        <f>G1069*J1069</f>
        <v/>
      </c>
      <c r="L1069" s="10">
        <f>IF(I1069="Yes",G1069*Assumptions!$B$5*J1069,0)</f>
        <v/>
      </c>
    </row>
    <row r="1070">
      <c r="A1070" t="n">
        <v>826</v>
      </c>
      <c r="B1070" t="inlineStr">
        <is>
          <t>Research &amp; Development</t>
        </is>
      </c>
      <c r="C1070" t="inlineStr">
        <is>
          <t>Research Scientist</t>
        </is>
      </c>
      <c r="D1070" t="inlineStr">
        <is>
          <t>No</t>
        </is>
      </c>
      <c r="E1070" s="8" t="n">
        <v>2506</v>
      </c>
      <c r="F1070" s="8">
        <f>E1070*Assumptions!$B$7</f>
        <v/>
      </c>
      <c r="G1070" s="9" t="n">
        <v>0.0081</v>
      </c>
      <c r="H1070" t="inlineStr">
        <is>
          <t>Low</t>
        </is>
      </c>
      <c r="I1070">
        <f>IF(G1070&gt;=Assumptions!$B$4,"Yes","No")</f>
        <v/>
      </c>
      <c r="J1070" s="8">
        <f>F1070*Assumptions!$B$6</f>
        <v/>
      </c>
      <c r="K1070" s="10">
        <f>G1070*J1070</f>
        <v/>
      </c>
      <c r="L1070" s="10">
        <f>IF(I1070="Yes",G1070*Assumptions!$B$5*J1070,0)</f>
        <v/>
      </c>
    </row>
    <row r="1071">
      <c r="A1071" t="n">
        <v>1976</v>
      </c>
      <c r="B1071" t="inlineStr">
        <is>
          <t>Research &amp; Development</t>
        </is>
      </c>
      <c r="C1071" t="inlineStr">
        <is>
          <t>Research Scientist</t>
        </is>
      </c>
      <c r="D1071" t="inlineStr">
        <is>
          <t>No</t>
        </is>
      </c>
      <c r="E1071" s="8" t="n">
        <v>4332</v>
      </c>
      <c r="F1071" s="8">
        <f>E1071*Assumptions!$B$7</f>
        <v/>
      </c>
      <c r="G1071" s="9" t="n">
        <v>0.0081</v>
      </c>
      <c r="H1071" t="inlineStr">
        <is>
          <t>Low</t>
        </is>
      </c>
      <c r="I1071">
        <f>IF(G1071&gt;=Assumptions!$B$4,"Yes","No")</f>
        <v/>
      </c>
      <c r="J1071" s="8">
        <f>F1071*Assumptions!$B$6</f>
        <v/>
      </c>
      <c r="K1071" s="10">
        <f>G1071*J1071</f>
        <v/>
      </c>
      <c r="L1071" s="10">
        <f>IF(I1071="Yes",G1071*Assumptions!$B$5*J1071,0)</f>
        <v/>
      </c>
    </row>
    <row r="1072">
      <c r="A1072" t="n">
        <v>461</v>
      </c>
      <c r="B1072" t="inlineStr">
        <is>
          <t>Research &amp; Development</t>
        </is>
      </c>
      <c r="C1072" t="inlineStr">
        <is>
          <t>Research Director</t>
        </is>
      </c>
      <c r="D1072" t="inlineStr">
        <is>
          <t>Yes</t>
        </is>
      </c>
      <c r="E1072" s="8" t="n">
        <v>11510</v>
      </c>
      <c r="F1072" s="8">
        <f>E1072*Assumptions!$B$7</f>
        <v/>
      </c>
      <c r="G1072" s="9" t="n">
        <v>0.008</v>
      </c>
      <c r="H1072" t="inlineStr">
        <is>
          <t>Low</t>
        </is>
      </c>
      <c r="I1072">
        <f>IF(G1072&gt;=Assumptions!$B$4,"Yes","No")</f>
        <v/>
      </c>
      <c r="J1072" s="8">
        <f>F1072*Assumptions!$B$6</f>
        <v/>
      </c>
      <c r="K1072" s="10">
        <f>G1072*J1072</f>
        <v/>
      </c>
      <c r="L1072" s="10">
        <f>IF(I1072="Yes",G1072*Assumptions!$B$5*J1072,0)</f>
        <v/>
      </c>
    </row>
    <row r="1073">
      <c r="A1073" t="n">
        <v>1471</v>
      </c>
      <c r="B1073" t="inlineStr">
        <is>
          <t>Research &amp; Development</t>
        </is>
      </c>
      <c r="C1073" t="inlineStr">
        <is>
          <t>Laboratory Technician</t>
        </is>
      </c>
      <c r="D1073" t="inlineStr">
        <is>
          <t>No</t>
        </is>
      </c>
      <c r="E1073" s="8" t="n">
        <v>3162</v>
      </c>
      <c r="F1073" s="8">
        <f>E1073*Assumptions!$B$7</f>
        <v/>
      </c>
      <c r="G1073" s="9" t="n">
        <v>0.008</v>
      </c>
      <c r="H1073" t="inlineStr">
        <is>
          <t>Low</t>
        </is>
      </c>
      <c r="I1073">
        <f>IF(G1073&gt;=Assumptions!$B$4,"Yes","No")</f>
        <v/>
      </c>
      <c r="J1073" s="8">
        <f>F1073*Assumptions!$B$6</f>
        <v/>
      </c>
      <c r="K1073" s="10">
        <f>G1073*J1073</f>
        <v/>
      </c>
      <c r="L1073" s="10">
        <f>IF(I1073="Yes",G1073*Assumptions!$B$5*J1073,0)</f>
        <v/>
      </c>
    </row>
    <row r="1074">
      <c r="A1074" t="n">
        <v>319</v>
      </c>
      <c r="B1074" t="inlineStr">
        <is>
          <t>Research &amp; Development</t>
        </is>
      </c>
      <c r="C1074" t="inlineStr">
        <is>
          <t>Manager</t>
        </is>
      </c>
      <c r="D1074" t="inlineStr">
        <is>
          <t>No</t>
        </is>
      </c>
      <c r="E1074" s="8" t="n">
        <v>19232</v>
      </c>
      <c r="F1074" s="8">
        <f>E1074*Assumptions!$B$7</f>
        <v/>
      </c>
      <c r="G1074" s="9" t="n">
        <v>0.008</v>
      </c>
      <c r="H1074" t="inlineStr">
        <is>
          <t>Low</t>
        </is>
      </c>
      <c r="I1074">
        <f>IF(G1074&gt;=Assumptions!$B$4,"Yes","No")</f>
        <v/>
      </c>
      <c r="J1074" s="8">
        <f>F1074*Assumptions!$B$6</f>
        <v/>
      </c>
      <c r="K1074" s="10">
        <f>G1074*J1074</f>
        <v/>
      </c>
      <c r="L1074" s="10">
        <f>IF(I1074="Yes",G1074*Assumptions!$B$5*J1074,0)</f>
        <v/>
      </c>
    </row>
    <row r="1075">
      <c r="A1075" t="n">
        <v>287</v>
      </c>
      <c r="B1075" t="inlineStr">
        <is>
          <t>Research &amp; Development</t>
        </is>
      </c>
      <c r="C1075" t="inlineStr">
        <is>
          <t>Healthcare Representative</t>
        </is>
      </c>
      <c r="D1075" t="inlineStr">
        <is>
          <t>No</t>
        </is>
      </c>
      <c r="E1075" s="8" t="n">
        <v>4876</v>
      </c>
      <c r="F1075" s="8">
        <f>E1075*Assumptions!$B$7</f>
        <v/>
      </c>
      <c r="G1075" s="9" t="n">
        <v>0.008</v>
      </c>
      <c r="H1075" t="inlineStr">
        <is>
          <t>Low</t>
        </is>
      </c>
      <c r="I1075">
        <f>IF(G1075&gt;=Assumptions!$B$4,"Yes","No")</f>
        <v/>
      </c>
      <c r="J1075" s="8">
        <f>F1075*Assumptions!$B$6</f>
        <v/>
      </c>
      <c r="K1075" s="10">
        <f>G1075*J1075</f>
        <v/>
      </c>
      <c r="L1075" s="10">
        <f>IF(I1075="Yes",G1075*Assumptions!$B$5*J1075,0)</f>
        <v/>
      </c>
    </row>
    <row r="1076">
      <c r="A1076" t="n">
        <v>1166</v>
      </c>
      <c r="B1076" t="inlineStr">
        <is>
          <t>Research &amp; Development</t>
        </is>
      </c>
      <c r="C1076" t="inlineStr">
        <is>
          <t>Research Director</t>
        </is>
      </c>
      <c r="D1076" t="inlineStr">
        <is>
          <t>No</t>
        </is>
      </c>
      <c r="E1076" s="8" t="n">
        <v>13499</v>
      </c>
      <c r="F1076" s="8">
        <f>E1076*Assumptions!$B$7</f>
        <v/>
      </c>
      <c r="G1076" s="9" t="n">
        <v>0.007900000000000001</v>
      </c>
      <c r="H1076" t="inlineStr">
        <is>
          <t>Low</t>
        </is>
      </c>
      <c r="I1076">
        <f>IF(G1076&gt;=Assumptions!$B$4,"Yes","No")</f>
        <v/>
      </c>
      <c r="J1076" s="8">
        <f>F1076*Assumptions!$B$6</f>
        <v/>
      </c>
      <c r="K1076" s="10">
        <f>G1076*J1076</f>
        <v/>
      </c>
      <c r="L1076" s="10">
        <f>IF(I1076="Yes",G1076*Assumptions!$B$5*J1076,0)</f>
        <v/>
      </c>
    </row>
    <row r="1077">
      <c r="A1077" t="n">
        <v>1278</v>
      </c>
      <c r="B1077" t="inlineStr">
        <is>
          <t>Research &amp; Development</t>
        </is>
      </c>
      <c r="C1077" t="inlineStr">
        <is>
          <t>Healthcare Representative</t>
        </is>
      </c>
      <c r="D1077" t="inlineStr">
        <is>
          <t>Yes</t>
        </is>
      </c>
      <c r="E1077" s="8" t="n">
        <v>13577</v>
      </c>
      <c r="F1077" s="8">
        <f>E1077*Assumptions!$B$7</f>
        <v/>
      </c>
      <c r="G1077" s="9" t="n">
        <v>0.007900000000000001</v>
      </c>
      <c r="H1077" t="inlineStr">
        <is>
          <t>Low</t>
        </is>
      </c>
      <c r="I1077">
        <f>IF(G1077&gt;=Assumptions!$B$4,"Yes","No")</f>
        <v/>
      </c>
      <c r="J1077" s="8">
        <f>F1077*Assumptions!$B$6</f>
        <v/>
      </c>
      <c r="K1077" s="10">
        <f>G1077*J1077</f>
        <v/>
      </c>
      <c r="L1077" s="10">
        <f>IF(I1077="Yes",G1077*Assumptions!$B$5*J1077,0)</f>
        <v/>
      </c>
    </row>
    <row r="1078">
      <c r="A1078" t="n">
        <v>264</v>
      </c>
      <c r="B1078" t="inlineStr">
        <is>
          <t>Research &amp; Development</t>
        </is>
      </c>
      <c r="C1078" t="inlineStr">
        <is>
          <t>Manager</t>
        </is>
      </c>
      <c r="D1078" t="inlineStr">
        <is>
          <t>No</t>
        </is>
      </c>
      <c r="E1078" s="8" t="n">
        <v>16792</v>
      </c>
      <c r="F1078" s="8">
        <f>E1078*Assumptions!$B$7</f>
        <v/>
      </c>
      <c r="G1078" s="9" t="n">
        <v>0.0078</v>
      </c>
      <c r="H1078" t="inlineStr">
        <is>
          <t>Low</t>
        </is>
      </c>
      <c r="I1078">
        <f>IF(G1078&gt;=Assumptions!$B$4,"Yes","No")</f>
        <v/>
      </c>
      <c r="J1078" s="8">
        <f>F1078*Assumptions!$B$6</f>
        <v/>
      </c>
      <c r="K1078" s="10">
        <f>G1078*J1078</f>
        <v/>
      </c>
      <c r="L1078" s="10">
        <f>IF(I1078="Yes",G1078*Assumptions!$B$5*J1078,0)</f>
        <v/>
      </c>
    </row>
    <row r="1079">
      <c r="A1079" t="n">
        <v>1999</v>
      </c>
      <c r="B1079" t="inlineStr">
        <is>
          <t>Research &amp; Development</t>
        </is>
      </c>
      <c r="C1079" t="inlineStr">
        <is>
          <t>Research Scientist</t>
        </is>
      </c>
      <c r="D1079" t="inlineStr">
        <is>
          <t>No</t>
        </is>
      </c>
      <c r="E1079" s="8" t="n">
        <v>2782</v>
      </c>
      <c r="F1079" s="8">
        <f>E1079*Assumptions!$B$7</f>
        <v/>
      </c>
      <c r="G1079" s="9" t="n">
        <v>0.0077</v>
      </c>
      <c r="H1079" t="inlineStr">
        <is>
          <t>Low</t>
        </is>
      </c>
      <c r="I1079">
        <f>IF(G1079&gt;=Assumptions!$B$4,"Yes","No")</f>
        <v/>
      </c>
      <c r="J1079" s="8">
        <f>F1079*Assumptions!$B$6</f>
        <v/>
      </c>
      <c r="K1079" s="10">
        <f>G1079*J1079</f>
        <v/>
      </c>
      <c r="L1079" s="10">
        <f>IF(I1079="Yes",G1079*Assumptions!$B$5*J1079,0)</f>
        <v/>
      </c>
    </row>
    <row r="1080">
      <c r="A1080" t="n">
        <v>999</v>
      </c>
      <c r="B1080" t="inlineStr">
        <is>
          <t>Research &amp; Development</t>
        </is>
      </c>
      <c r="C1080" t="inlineStr">
        <is>
          <t>Research Director</t>
        </is>
      </c>
      <c r="D1080" t="inlineStr">
        <is>
          <t>No</t>
        </is>
      </c>
      <c r="E1080" s="8" t="n">
        <v>19419</v>
      </c>
      <c r="F1080" s="8">
        <f>E1080*Assumptions!$B$7</f>
        <v/>
      </c>
      <c r="G1080" s="9" t="n">
        <v>0.0076</v>
      </c>
      <c r="H1080" t="inlineStr">
        <is>
          <t>Low</t>
        </is>
      </c>
      <c r="I1080">
        <f>IF(G1080&gt;=Assumptions!$B$4,"Yes","No")</f>
        <v/>
      </c>
      <c r="J1080" s="8">
        <f>F1080*Assumptions!$B$6</f>
        <v/>
      </c>
      <c r="K1080" s="10">
        <f>G1080*J1080</f>
        <v/>
      </c>
      <c r="L1080" s="10">
        <f>IF(I1080="Yes",G1080*Assumptions!$B$5*J1080,0)</f>
        <v/>
      </c>
    </row>
    <row r="1081">
      <c r="A1081" t="n">
        <v>843</v>
      </c>
      <c r="B1081" t="inlineStr">
        <is>
          <t>Research &amp; Development</t>
        </is>
      </c>
      <c r="C1081" t="inlineStr">
        <is>
          <t>Research Director</t>
        </is>
      </c>
      <c r="D1081" t="inlineStr">
        <is>
          <t>No</t>
        </is>
      </c>
      <c r="E1081" s="8" t="n">
        <v>17159</v>
      </c>
      <c r="F1081" s="8">
        <f>E1081*Assumptions!$B$7</f>
        <v/>
      </c>
      <c r="G1081" s="9" t="n">
        <v>0.0076</v>
      </c>
      <c r="H1081" t="inlineStr">
        <is>
          <t>Low</t>
        </is>
      </c>
      <c r="I1081">
        <f>IF(G1081&gt;=Assumptions!$B$4,"Yes","No")</f>
        <v/>
      </c>
      <c r="J1081" s="8">
        <f>F1081*Assumptions!$B$6</f>
        <v/>
      </c>
      <c r="K1081" s="10">
        <f>G1081*J1081</f>
        <v/>
      </c>
      <c r="L1081" s="10">
        <f>IF(I1081="Yes",G1081*Assumptions!$B$5*J1081,0)</f>
        <v/>
      </c>
    </row>
    <row r="1082">
      <c r="A1082" t="n">
        <v>1162</v>
      </c>
      <c r="B1082" t="inlineStr">
        <is>
          <t>Research &amp; Development</t>
        </is>
      </c>
      <c r="C1082" t="inlineStr">
        <is>
          <t>Research Scientist</t>
        </is>
      </c>
      <c r="D1082" t="inlineStr">
        <is>
          <t>No</t>
        </is>
      </c>
      <c r="E1082" s="8" t="n">
        <v>2539</v>
      </c>
      <c r="F1082" s="8">
        <f>E1082*Assumptions!$B$7</f>
        <v/>
      </c>
      <c r="G1082" s="9" t="n">
        <v>0.0075</v>
      </c>
      <c r="H1082" t="inlineStr">
        <is>
          <t>Low</t>
        </is>
      </c>
      <c r="I1082">
        <f>IF(G1082&gt;=Assumptions!$B$4,"Yes","No")</f>
        <v/>
      </c>
      <c r="J1082" s="8">
        <f>F1082*Assumptions!$B$6</f>
        <v/>
      </c>
      <c r="K1082" s="10">
        <f>G1082*J1082</f>
        <v/>
      </c>
      <c r="L1082" s="10">
        <f>IF(I1082="Yes",G1082*Assumptions!$B$5*J1082,0)</f>
        <v/>
      </c>
    </row>
    <row r="1083">
      <c r="A1083" t="n">
        <v>894</v>
      </c>
      <c r="B1083" t="inlineStr">
        <is>
          <t>Research &amp; Development</t>
        </is>
      </c>
      <c r="C1083" t="inlineStr">
        <is>
          <t>Laboratory Technician</t>
        </is>
      </c>
      <c r="D1083" t="inlineStr">
        <is>
          <t>Yes</t>
        </is>
      </c>
      <c r="E1083" s="8" t="n">
        <v>5231</v>
      </c>
      <c r="F1083" s="8">
        <f>E1083*Assumptions!$B$7</f>
        <v/>
      </c>
      <c r="G1083" s="9" t="n">
        <v>0.0075</v>
      </c>
      <c r="H1083" t="inlineStr">
        <is>
          <t>Low</t>
        </is>
      </c>
      <c r="I1083">
        <f>IF(G1083&gt;=Assumptions!$B$4,"Yes","No")</f>
        <v/>
      </c>
      <c r="J1083" s="8">
        <f>F1083*Assumptions!$B$6</f>
        <v/>
      </c>
      <c r="K1083" s="10">
        <f>G1083*J1083</f>
        <v/>
      </c>
      <c r="L1083" s="10">
        <f>IF(I1083="Yes",G1083*Assumptions!$B$5*J1083,0)</f>
        <v/>
      </c>
    </row>
    <row r="1084">
      <c r="A1084" t="n">
        <v>1670</v>
      </c>
      <c r="B1084" t="inlineStr">
        <is>
          <t>Sales</t>
        </is>
      </c>
      <c r="C1084" t="inlineStr">
        <is>
          <t>Sales Executive</t>
        </is>
      </c>
      <c r="D1084" t="inlineStr">
        <is>
          <t>No</t>
        </is>
      </c>
      <c r="E1084" s="8" t="n">
        <v>5505</v>
      </c>
      <c r="F1084" s="8">
        <f>E1084*Assumptions!$B$7</f>
        <v/>
      </c>
      <c r="G1084" s="9" t="n">
        <v>0.0075</v>
      </c>
      <c r="H1084" t="inlineStr">
        <is>
          <t>Low</t>
        </is>
      </c>
      <c r="I1084">
        <f>IF(G1084&gt;=Assumptions!$B$4,"Yes","No")</f>
        <v/>
      </c>
      <c r="J1084" s="8">
        <f>F1084*Assumptions!$B$6</f>
        <v/>
      </c>
      <c r="K1084" s="10">
        <f>G1084*J1084</f>
        <v/>
      </c>
      <c r="L1084" s="10">
        <f>IF(I1084="Yes",G1084*Assumptions!$B$5*J1084,0)</f>
        <v/>
      </c>
    </row>
    <row r="1085">
      <c r="A1085" t="n">
        <v>546</v>
      </c>
      <c r="B1085" t="inlineStr">
        <is>
          <t>Research &amp; Development</t>
        </is>
      </c>
      <c r="C1085" t="inlineStr">
        <is>
          <t>Manager</t>
        </is>
      </c>
      <c r="D1085" t="inlineStr">
        <is>
          <t>No</t>
        </is>
      </c>
      <c r="E1085" s="8" t="n">
        <v>16555</v>
      </c>
      <c r="F1085" s="8">
        <f>E1085*Assumptions!$B$7</f>
        <v/>
      </c>
      <c r="G1085" s="9" t="n">
        <v>0.0074</v>
      </c>
      <c r="H1085" t="inlineStr">
        <is>
          <t>Low</t>
        </is>
      </c>
      <c r="I1085">
        <f>IF(G1085&gt;=Assumptions!$B$4,"Yes","No")</f>
        <v/>
      </c>
      <c r="J1085" s="8">
        <f>F1085*Assumptions!$B$6</f>
        <v/>
      </c>
      <c r="K1085" s="10">
        <f>G1085*J1085</f>
        <v/>
      </c>
      <c r="L1085" s="10">
        <f>IF(I1085="Yes",G1085*Assumptions!$B$5*J1085,0)</f>
        <v/>
      </c>
    </row>
    <row r="1086">
      <c r="A1086" t="n">
        <v>1986</v>
      </c>
      <c r="B1086" t="inlineStr">
        <is>
          <t>Sales</t>
        </is>
      </c>
      <c r="C1086" t="inlineStr">
        <is>
          <t>Sales Executive</t>
        </is>
      </c>
      <c r="D1086" t="inlineStr">
        <is>
          <t>No</t>
        </is>
      </c>
      <c r="E1086" s="8" t="n">
        <v>5677</v>
      </c>
      <c r="F1086" s="8">
        <f>E1086*Assumptions!$B$7</f>
        <v/>
      </c>
      <c r="G1086" s="9" t="n">
        <v>0.0074</v>
      </c>
      <c r="H1086" t="inlineStr">
        <is>
          <t>Low</t>
        </is>
      </c>
      <c r="I1086">
        <f>IF(G1086&gt;=Assumptions!$B$4,"Yes","No")</f>
        <v/>
      </c>
      <c r="J1086" s="8">
        <f>F1086*Assumptions!$B$6</f>
        <v/>
      </c>
      <c r="K1086" s="10">
        <f>G1086*J1086</f>
        <v/>
      </c>
      <c r="L1086" s="10">
        <f>IF(I1086="Yes",G1086*Assumptions!$B$5*J1086,0)</f>
        <v/>
      </c>
    </row>
    <row r="1087">
      <c r="A1087" t="n">
        <v>867</v>
      </c>
      <c r="B1087" t="inlineStr">
        <is>
          <t>Research &amp; Development</t>
        </is>
      </c>
      <c r="C1087" t="inlineStr">
        <is>
          <t>Manufacturing Director</t>
        </is>
      </c>
      <c r="D1087" t="inlineStr">
        <is>
          <t>No</t>
        </is>
      </c>
      <c r="E1087" s="8" t="n">
        <v>13826</v>
      </c>
      <c r="F1087" s="8">
        <f>E1087*Assumptions!$B$7</f>
        <v/>
      </c>
      <c r="G1087" s="9" t="n">
        <v>0.0074</v>
      </c>
      <c r="H1087" t="inlineStr">
        <is>
          <t>Low</t>
        </is>
      </c>
      <c r="I1087">
        <f>IF(G1087&gt;=Assumptions!$B$4,"Yes","No")</f>
        <v/>
      </c>
      <c r="J1087" s="8">
        <f>F1087*Assumptions!$B$6</f>
        <v/>
      </c>
      <c r="K1087" s="10">
        <f>G1087*J1087</f>
        <v/>
      </c>
      <c r="L1087" s="10">
        <f>IF(I1087="Yes",G1087*Assumptions!$B$5*J1087,0)</f>
        <v/>
      </c>
    </row>
    <row r="1088">
      <c r="A1088" t="n">
        <v>1607</v>
      </c>
      <c r="B1088" t="inlineStr">
        <is>
          <t>Research &amp; Development</t>
        </is>
      </c>
      <c r="C1088" t="inlineStr">
        <is>
          <t>Research Scientist</t>
        </is>
      </c>
      <c r="D1088" t="inlineStr">
        <is>
          <t>No</t>
        </is>
      </c>
      <c r="E1088" s="8" t="n">
        <v>3312</v>
      </c>
      <c r="F1088" s="8">
        <f>E1088*Assumptions!$B$7</f>
        <v/>
      </c>
      <c r="G1088" s="9" t="n">
        <v>0.0074</v>
      </c>
      <c r="H1088" t="inlineStr">
        <is>
          <t>Low</t>
        </is>
      </c>
      <c r="I1088">
        <f>IF(G1088&gt;=Assumptions!$B$4,"Yes","No")</f>
        <v/>
      </c>
      <c r="J1088" s="8">
        <f>F1088*Assumptions!$B$6</f>
        <v/>
      </c>
      <c r="K1088" s="10">
        <f>G1088*J1088</f>
        <v/>
      </c>
      <c r="L1088" s="10">
        <f>IF(I1088="Yes",G1088*Assumptions!$B$5*J1088,0)</f>
        <v/>
      </c>
    </row>
    <row r="1089">
      <c r="A1089" t="n">
        <v>501</v>
      </c>
      <c r="B1089" t="inlineStr">
        <is>
          <t>Research &amp; Development</t>
        </is>
      </c>
      <c r="C1089" t="inlineStr">
        <is>
          <t>Research Scientist</t>
        </is>
      </c>
      <c r="D1089" t="inlineStr">
        <is>
          <t>No</t>
        </is>
      </c>
      <c r="E1089" s="8" t="n">
        <v>2543</v>
      </c>
      <c r="F1089" s="8">
        <f>E1089*Assumptions!$B$7</f>
        <v/>
      </c>
      <c r="G1089" s="9" t="n">
        <v>0.0073</v>
      </c>
      <c r="H1089" t="inlineStr">
        <is>
          <t>Low</t>
        </is>
      </c>
      <c r="I1089">
        <f>IF(G1089&gt;=Assumptions!$B$4,"Yes","No")</f>
        <v/>
      </c>
      <c r="J1089" s="8">
        <f>F1089*Assumptions!$B$6</f>
        <v/>
      </c>
      <c r="K1089" s="10">
        <f>G1089*J1089</f>
        <v/>
      </c>
      <c r="L1089" s="10">
        <f>IF(I1089="Yes",G1089*Assumptions!$B$5*J1089,0)</f>
        <v/>
      </c>
    </row>
    <row r="1090">
      <c r="A1090" t="n">
        <v>36</v>
      </c>
      <c r="B1090" t="inlineStr">
        <is>
          <t>Research &amp; Development</t>
        </is>
      </c>
      <c r="C1090" t="inlineStr">
        <is>
          <t>Healthcare Representative</t>
        </is>
      </c>
      <c r="D1090" t="inlineStr">
        <is>
          <t>No</t>
        </is>
      </c>
      <c r="E1090" s="8" t="n">
        <v>10248</v>
      </c>
      <c r="F1090" s="8">
        <f>E1090*Assumptions!$B$7</f>
        <v/>
      </c>
      <c r="G1090" s="9" t="n">
        <v>0.0073</v>
      </c>
      <c r="H1090" t="inlineStr">
        <is>
          <t>Low</t>
        </is>
      </c>
      <c r="I1090">
        <f>IF(G1090&gt;=Assumptions!$B$4,"Yes","No")</f>
        <v/>
      </c>
      <c r="J1090" s="8">
        <f>F1090*Assumptions!$B$6</f>
        <v/>
      </c>
      <c r="K1090" s="10">
        <f>G1090*J1090</f>
        <v/>
      </c>
      <c r="L1090" s="10">
        <f>IF(I1090="Yes",G1090*Assumptions!$B$5*J1090,0)</f>
        <v/>
      </c>
    </row>
    <row r="1091">
      <c r="A1091" t="n">
        <v>520</v>
      </c>
      <c r="B1091" t="inlineStr">
        <is>
          <t>Research &amp; Development</t>
        </is>
      </c>
      <c r="C1091" t="inlineStr">
        <is>
          <t>Research Director</t>
        </is>
      </c>
      <c r="D1091" t="inlineStr">
        <is>
          <t>No</t>
        </is>
      </c>
      <c r="E1091" s="8" t="n">
        <v>14336</v>
      </c>
      <c r="F1091" s="8">
        <f>E1091*Assumptions!$B$7</f>
        <v/>
      </c>
      <c r="G1091" s="9" t="n">
        <v>0.0073</v>
      </c>
      <c r="H1091" t="inlineStr">
        <is>
          <t>Low</t>
        </is>
      </c>
      <c r="I1091">
        <f>IF(G1091&gt;=Assumptions!$B$4,"Yes","No")</f>
        <v/>
      </c>
      <c r="J1091" s="8">
        <f>F1091*Assumptions!$B$6</f>
        <v/>
      </c>
      <c r="K1091" s="10">
        <f>G1091*J1091</f>
        <v/>
      </c>
      <c r="L1091" s="10">
        <f>IF(I1091="Yes",G1091*Assumptions!$B$5*J1091,0)</f>
        <v/>
      </c>
    </row>
    <row r="1092">
      <c r="A1092" t="n">
        <v>569</v>
      </c>
      <c r="B1092" t="inlineStr">
        <is>
          <t>Research &amp; Development</t>
        </is>
      </c>
      <c r="C1092" t="inlineStr">
        <is>
          <t>Manager</t>
        </is>
      </c>
      <c r="D1092" t="inlineStr">
        <is>
          <t>No</t>
        </is>
      </c>
      <c r="E1092" s="8" t="n">
        <v>17046</v>
      </c>
      <c r="F1092" s="8">
        <f>E1092*Assumptions!$B$7</f>
        <v/>
      </c>
      <c r="G1092" s="9" t="n">
        <v>0.0073</v>
      </c>
      <c r="H1092" t="inlineStr">
        <is>
          <t>Low</t>
        </is>
      </c>
      <c r="I1092">
        <f>IF(G1092&gt;=Assumptions!$B$4,"Yes","No")</f>
        <v/>
      </c>
      <c r="J1092" s="8">
        <f>F1092*Assumptions!$B$6</f>
        <v/>
      </c>
      <c r="K1092" s="10">
        <f>G1092*J1092</f>
        <v/>
      </c>
      <c r="L1092" s="10">
        <f>IF(I1092="Yes",G1092*Assumptions!$B$5*J1092,0)</f>
        <v/>
      </c>
    </row>
    <row r="1093">
      <c r="A1093" t="n">
        <v>1514</v>
      </c>
      <c r="B1093" t="inlineStr">
        <is>
          <t>Research &amp; Development</t>
        </is>
      </c>
      <c r="C1093" t="inlineStr">
        <is>
          <t>Manufacturing Director</t>
        </is>
      </c>
      <c r="D1093" t="inlineStr">
        <is>
          <t>No</t>
        </is>
      </c>
      <c r="E1093" s="8" t="n">
        <v>6549</v>
      </c>
      <c r="F1093" s="8">
        <f>E1093*Assumptions!$B$7</f>
        <v/>
      </c>
      <c r="G1093" s="9" t="n">
        <v>0.0073</v>
      </c>
      <c r="H1093" t="inlineStr">
        <is>
          <t>Low</t>
        </is>
      </c>
      <c r="I1093">
        <f>IF(G1093&gt;=Assumptions!$B$4,"Yes","No")</f>
        <v/>
      </c>
      <c r="J1093" s="8">
        <f>F1093*Assumptions!$B$6</f>
        <v/>
      </c>
      <c r="K1093" s="10">
        <f>G1093*J1093</f>
        <v/>
      </c>
      <c r="L1093" s="10">
        <f>IF(I1093="Yes",G1093*Assumptions!$B$5*J1093,0)</f>
        <v/>
      </c>
    </row>
    <row r="1094">
      <c r="A1094" t="n">
        <v>1661</v>
      </c>
      <c r="B1094" t="inlineStr">
        <is>
          <t>Research &amp; Development</t>
        </is>
      </c>
      <c r="C1094" t="inlineStr">
        <is>
          <t>Healthcare Representative</t>
        </is>
      </c>
      <c r="D1094" t="inlineStr">
        <is>
          <t>Yes</t>
        </is>
      </c>
      <c r="E1094" s="8" t="n">
        <v>13966</v>
      </c>
      <c r="F1094" s="8">
        <f>E1094*Assumptions!$B$7</f>
        <v/>
      </c>
      <c r="G1094" s="9" t="n">
        <v>0.0073</v>
      </c>
      <c r="H1094" t="inlineStr">
        <is>
          <t>Low</t>
        </is>
      </c>
      <c r="I1094">
        <f>IF(G1094&gt;=Assumptions!$B$4,"Yes","No")</f>
        <v/>
      </c>
      <c r="J1094" s="8">
        <f>F1094*Assumptions!$B$6</f>
        <v/>
      </c>
      <c r="K1094" s="10">
        <f>G1094*J1094</f>
        <v/>
      </c>
      <c r="L1094" s="10">
        <f>IF(I1094="Yes",G1094*Assumptions!$B$5*J1094,0)</f>
        <v/>
      </c>
    </row>
    <row r="1095">
      <c r="A1095" t="n">
        <v>1655</v>
      </c>
      <c r="B1095" t="inlineStr">
        <is>
          <t>Research &amp; Development</t>
        </is>
      </c>
      <c r="C1095" t="inlineStr">
        <is>
          <t>Research Director</t>
        </is>
      </c>
      <c r="D1095" t="inlineStr">
        <is>
          <t>No</t>
        </is>
      </c>
      <c r="E1095" s="8" t="n">
        <v>16413</v>
      </c>
      <c r="F1095" s="8">
        <f>E1095*Assumptions!$B$7</f>
        <v/>
      </c>
      <c r="G1095" s="9" t="n">
        <v>0.0072</v>
      </c>
      <c r="H1095" t="inlineStr">
        <is>
          <t>Low</t>
        </is>
      </c>
      <c r="I1095">
        <f>IF(G1095&gt;=Assumptions!$B$4,"Yes","No")</f>
        <v/>
      </c>
      <c r="J1095" s="8">
        <f>F1095*Assumptions!$B$6</f>
        <v/>
      </c>
      <c r="K1095" s="10">
        <f>G1095*J1095</f>
        <v/>
      </c>
      <c r="L1095" s="10">
        <f>IF(I1095="Yes",G1095*Assumptions!$B$5*J1095,0)</f>
        <v/>
      </c>
    </row>
    <row r="1096">
      <c r="A1096" t="n">
        <v>341</v>
      </c>
      <c r="B1096" t="inlineStr">
        <is>
          <t>Research &amp; Development</t>
        </is>
      </c>
      <c r="C1096" t="inlineStr">
        <is>
          <t>Manufacturing Director</t>
        </is>
      </c>
      <c r="D1096" t="inlineStr">
        <is>
          <t>No</t>
        </is>
      </c>
      <c r="E1096" s="8" t="n">
        <v>6434</v>
      </c>
      <c r="F1096" s="8">
        <f>E1096*Assumptions!$B$7</f>
        <v/>
      </c>
      <c r="G1096" s="9" t="n">
        <v>0.0072</v>
      </c>
      <c r="H1096" t="inlineStr">
        <is>
          <t>Low</t>
        </is>
      </c>
      <c r="I1096">
        <f>IF(G1096&gt;=Assumptions!$B$4,"Yes","No")</f>
        <v/>
      </c>
      <c r="J1096" s="8">
        <f>F1096*Assumptions!$B$6</f>
        <v/>
      </c>
      <c r="K1096" s="10">
        <f>G1096*J1096</f>
        <v/>
      </c>
      <c r="L1096" s="10">
        <f>IF(I1096="Yes",G1096*Assumptions!$B$5*J1096,0)</f>
        <v/>
      </c>
    </row>
    <row r="1097">
      <c r="A1097" t="n">
        <v>847</v>
      </c>
      <c r="B1097" t="inlineStr">
        <is>
          <t>Human Resources</t>
        </is>
      </c>
      <c r="C1097" t="inlineStr">
        <is>
          <t>Human Resources</t>
        </is>
      </c>
      <c r="D1097" t="inlineStr">
        <is>
          <t>No</t>
        </is>
      </c>
      <c r="E1097" s="8" t="n">
        <v>3737</v>
      </c>
      <c r="F1097" s="8">
        <f>E1097*Assumptions!$B$7</f>
        <v/>
      </c>
      <c r="G1097" s="9" t="n">
        <v>0.0071</v>
      </c>
      <c r="H1097" t="inlineStr">
        <is>
          <t>Low</t>
        </is>
      </c>
      <c r="I1097">
        <f>IF(G1097&gt;=Assumptions!$B$4,"Yes","No")</f>
        <v/>
      </c>
      <c r="J1097" s="8">
        <f>F1097*Assumptions!$B$6</f>
        <v/>
      </c>
      <c r="K1097" s="10">
        <f>G1097*J1097</f>
        <v/>
      </c>
      <c r="L1097" s="10">
        <f>IF(I1097="Yes",G1097*Assumptions!$B$5*J1097,0)</f>
        <v/>
      </c>
    </row>
    <row r="1098">
      <c r="A1098" t="n">
        <v>902</v>
      </c>
      <c r="B1098" t="inlineStr">
        <is>
          <t>Research &amp; Development</t>
        </is>
      </c>
      <c r="C1098" t="inlineStr">
        <is>
          <t>Healthcare Representative</t>
        </is>
      </c>
      <c r="D1098" t="inlineStr">
        <is>
          <t>No</t>
        </is>
      </c>
      <c r="E1098" s="8" t="n">
        <v>5562</v>
      </c>
      <c r="F1098" s="8">
        <f>E1098*Assumptions!$B$7</f>
        <v/>
      </c>
      <c r="G1098" s="9" t="n">
        <v>0.0071</v>
      </c>
      <c r="H1098" t="inlineStr">
        <is>
          <t>Low</t>
        </is>
      </c>
      <c r="I1098">
        <f>IF(G1098&gt;=Assumptions!$B$4,"Yes","No")</f>
        <v/>
      </c>
      <c r="J1098" s="8">
        <f>F1098*Assumptions!$B$6</f>
        <v/>
      </c>
      <c r="K1098" s="10">
        <f>G1098*J1098</f>
        <v/>
      </c>
      <c r="L1098" s="10">
        <f>IF(I1098="Yes",G1098*Assumptions!$B$5*J1098,0)</f>
        <v/>
      </c>
    </row>
    <row r="1099">
      <c r="A1099" t="n">
        <v>143</v>
      </c>
      <c r="B1099" t="inlineStr">
        <is>
          <t>Research &amp; Development</t>
        </is>
      </c>
      <c r="C1099" t="inlineStr">
        <is>
          <t>Research Scientist</t>
        </is>
      </c>
      <c r="D1099" t="inlineStr">
        <is>
          <t>No</t>
        </is>
      </c>
      <c r="E1099" s="8" t="n">
        <v>2889</v>
      </c>
      <c r="F1099" s="8">
        <f>E1099*Assumptions!$B$7</f>
        <v/>
      </c>
      <c r="G1099" s="9" t="n">
        <v>0.0071</v>
      </c>
      <c r="H1099" t="inlineStr">
        <is>
          <t>Low</t>
        </is>
      </c>
      <c r="I1099">
        <f>IF(G1099&gt;=Assumptions!$B$4,"Yes","No")</f>
        <v/>
      </c>
      <c r="J1099" s="8">
        <f>F1099*Assumptions!$B$6</f>
        <v/>
      </c>
      <c r="K1099" s="10">
        <f>G1099*J1099</f>
        <v/>
      </c>
      <c r="L1099" s="10">
        <f>IF(I1099="Yes",G1099*Assumptions!$B$5*J1099,0)</f>
        <v/>
      </c>
    </row>
    <row r="1100">
      <c r="A1100" t="n">
        <v>1443</v>
      </c>
      <c r="B1100" t="inlineStr">
        <is>
          <t>Research &amp; Development</t>
        </is>
      </c>
      <c r="C1100" t="inlineStr">
        <is>
          <t>Research Director</t>
        </is>
      </c>
      <c r="D1100" t="inlineStr">
        <is>
          <t>No</t>
        </is>
      </c>
      <c r="E1100" s="8" t="n">
        <v>17169</v>
      </c>
      <c r="F1100" s="8">
        <f>E1100*Assumptions!$B$7</f>
        <v/>
      </c>
      <c r="G1100" s="9" t="n">
        <v>0.0071</v>
      </c>
      <c r="H1100" t="inlineStr">
        <is>
          <t>Low</t>
        </is>
      </c>
      <c r="I1100">
        <f>IF(G1100&gt;=Assumptions!$B$4,"Yes","No")</f>
        <v/>
      </c>
      <c r="J1100" s="8">
        <f>F1100*Assumptions!$B$6</f>
        <v/>
      </c>
      <c r="K1100" s="10">
        <f>G1100*J1100</f>
        <v/>
      </c>
      <c r="L1100" s="10">
        <f>IF(I1100="Yes",G1100*Assumptions!$B$5*J1100,0)</f>
        <v/>
      </c>
    </row>
    <row r="1101">
      <c r="A1101" t="n">
        <v>1922</v>
      </c>
      <c r="B1101" t="inlineStr">
        <is>
          <t>Research &amp; Development</t>
        </is>
      </c>
      <c r="C1101" t="inlineStr">
        <is>
          <t>Healthcare Representative</t>
        </is>
      </c>
      <c r="D1101" t="inlineStr">
        <is>
          <t>No</t>
        </is>
      </c>
      <c r="E1101" s="8" t="n">
        <v>5399</v>
      </c>
      <c r="F1101" s="8">
        <f>E1101*Assumptions!$B$7</f>
        <v/>
      </c>
      <c r="G1101" s="9" t="n">
        <v>0.0071</v>
      </c>
      <c r="H1101" t="inlineStr">
        <is>
          <t>Low</t>
        </is>
      </c>
      <c r="I1101">
        <f>IF(G1101&gt;=Assumptions!$B$4,"Yes","No")</f>
        <v/>
      </c>
      <c r="J1101" s="8">
        <f>F1101*Assumptions!$B$6</f>
        <v/>
      </c>
      <c r="K1101" s="10">
        <f>G1101*J1101</f>
        <v/>
      </c>
      <c r="L1101" s="10">
        <f>IF(I1101="Yes",G1101*Assumptions!$B$5*J1101,0)</f>
        <v/>
      </c>
    </row>
    <row r="1102">
      <c r="A1102" t="n">
        <v>1027</v>
      </c>
      <c r="B1102" t="inlineStr">
        <is>
          <t>Research &amp; Development</t>
        </is>
      </c>
      <c r="C1102" t="inlineStr">
        <is>
          <t>Manufacturing Director</t>
        </is>
      </c>
      <c r="D1102" t="inlineStr">
        <is>
          <t>No</t>
        </is>
      </c>
      <c r="E1102" s="8" t="n">
        <v>4227</v>
      </c>
      <c r="F1102" s="8">
        <f>E1102*Assumptions!$B$7</f>
        <v/>
      </c>
      <c r="G1102" s="9" t="n">
        <v>0.0071</v>
      </c>
      <c r="H1102" t="inlineStr">
        <is>
          <t>Low</t>
        </is>
      </c>
      <c r="I1102">
        <f>IF(G1102&gt;=Assumptions!$B$4,"Yes","No")</f>
        <v/>
      </c>
      <c r="J1102" s="8">
        <f>F1102*Assumptions!$B$6</f>
        <v/>
      </c>
      <c r="K1102" s="10">
        <f>G1102*J1102</f>
        <v/>
      </c>
      <c r="L1102" s="10">
        <f>IF(I1102="Yes",G1102*Assumptions!$B$5*J1102,0)</f>
        <v/>
      </c>
    </row>
    <row r="1103">
      <c r="A1103" t="n">
        <v>395</v>
      </c>
      <c r="B1103" t="inlineStr">
        <is>
          <t>Research &amp; Development</t>
        </is>
      </c>
      <c r="C1103" t="inlineStr">
        <is>
          <t>Research Scientist</t>
        </is>
      </c>
      <c r="D1103" t="inlineStr">
        <is>
          <t>No</t>
        </is>
      </c>
      <c r="E1103" s="8" t="n">
        <v>3310</v>
      </c>
      <c r="F1103" s="8">
        <f>E1103*Assumptions!$B$7</f>
        <v/>
      </c>
      <c r="G1103" s="9" t="n">
        <v>0.0071</v>
      </c>
      <c r="H1103" t="inlineStr">
        <is>
          <t>Low</t>
        </is>
      </c>
      <c r="I1103">
        <f>IF(G1103&gt;=Assumptions!$B$4,"Yes","No")</f>
        <v/>
      </c>
      <c r="J1103" s="8">
        <f>F1103*Assumptions!$B$6</f>
        <v/>
      </c>
      <c r="K1103" s="10">
        <f>G1103*J1103</f>
        <v/>
      </c>
      <c r="L1103" s="10">
        <f>IF(I1103="Yes",G1103*Assumptions!$B$5*J1103,0)</f>
        <v/>
      </c>
    </row>
    <row r="1104">
      <c r="A1104" t="n">
        <v>1361</v>
      </c>
      <c r="B1104" t="inlineStr">
        <is>
          <t>Research &amp; Development</t>
        </is>
      </c>
      <c r="C1104" t="inlineStr">
        <is>
          <t>Laboratory Technician</t>
        </is>
      </c>
      <c r="D1104" t="inlineStr">
        <is>
          <t>No</t>
        </is>
      </c>
      <c r="E1104" s="8" t="n">
        <v>2387</v>
      </c>
      <c r="F1104" s="8">
        <f>E1104*Assumptions!$B$7</f>
        <v/>
      </c>
      <c r="G1104" s="9" t="n">
        <v>0.007</v>
      </c>
      <c r="H1104" t="inlineStr">
        <is>
          <t>Low</t>
        </is>
      </c>
      <c r="I1104">
        <f>IF(G1104&gt;=Assumptions!$B$4,"Yes","No")</f>
        <v/>
      </c>
      <c r="J1104" s="8">
        <f>F1104*Assumptions!$B$6</f>
        <v/>
      </c>
      <c r="K1104" s="10">
        <f>G1104*J1104</f>
        <v/>
      </c>
      <c r="L1104" s="10">
        <f>IF(I1104="Yes",G1104*Assumptions!$B$5*J1104,0)</f>
        <v/>
      </c>
    </row>
    <row r="1105">
      <c r="A1105" t="n">
        <v>529</v>
      </c>
      <c r="B1105" t="inlineStr">
        <is>
          <t>Research &amp; Development</t>
        </is>
      </c>
      <c r="C1105" t="inlineStr">
        <is>
          <t>Research Scientist</t>
        </is>
      </c>
      <c r="D1105" t="inlineStr">
        <is>
          <t>Yes</t>
        </is>
      </c>
      <c r="E1105" s="8" t="n">
        <v>4449</v>
      </c>
      <c r="F1105" s="8">
        <f>E1105*Assumptions!$B$7</f>
        <v/>
      </c>
      <c r="G1105" s="9" t="n">
        <v>0.007</v>
      </c>
      <c r="H1105" t="inlineStr">
        <is>
          <t>Low</t>
        </is>
      </c>
      <c r="I1105">
        <f>IF(G1105&gt;=Assumptions!$B$4,"Yes","No")</f>
        <v/>
      </c>
      <c r="J1105" s="8">
        <f>F1105*Assumptions!$B$6</f>
        <v/>
      </c>
      <c r="K1105" s="10">
        <f>G1105*J1105</f>
        <v/>
      </c>
      <c r="L1105" s="10">
        <f>IF(I1105="Yes",G1105*Assumptions!$B$5*J1105,0)</f>
        <v/>
      </c>
    </row>
    <row r="1106">
      <c r="A1106" t="n">
        <v>377</v>
      </c>
      <c r="B1106" t="inlineStr">
        <is>
          <t>Research &amp; Development</t>
        </is>
      </c>
      <c r="C1106" t="inlineStr">
        <is>
          <t>Research Scientist</t>
        </is>
      </c>
      <c r="D1106" t="inlineStr">
        <is>
          <t>No</t>
        </is>
      </c>
      <c r="E1106" s="8" t="n">
        <v>2070</v>
      </c>
      <c r="F1106" s="8">
        <f>E1106*Assumptions!$B$7</f>
        <v/>
      </c>
      <c r="G1106" s="9" t="n">
        <v>0.0069</v>
      </c>
      <c r="H1106" t="inlineStr">
        <is>
          <t>Low</t>
        </is>
      </c>
      <c r="I1106">
        <f>IF(G1106&gt;=Assumptions!$B$4,"Yes","No")</f>
        <v/>
      </c>
      <c r="J1106" s="8">
        <f>F1106*Assumptions!$B$6</f>
        <v/>
      </c>
      <c r="K1106" s="10">
        <f>G1106*J1106</f>
        <v/>
      </c>
      <c r="L1106" s="10">
        <f>IF(I1106="Yes",G1106*Assumptions!$B$5*J1106,0)</f>
        <v/>
      </c>
    </row>
    <row r="1107">
      <c r="A1107" t="n">
        <v>2007</v>
      </c>
      <c r="B1107" t="inlineStr">
        <is>
          <t>Research &amp; Development</t>
        </is>
      </c>
      <c r="C1107" t="inlineStr">
        <is>
          <t>Research Scientist</t>
        </is>
      </c>
      <c r="D1107" t="inlineStr">
        <is>
          <t>No</t>
        </is>
      </c>
      <c r="E1107" s="8" t="n">
        <v>3375</v>
      </c>
      <c r="F1107" s="8">
        <f>E1107*Assumptions!$B$7</f>
        <v/>
      </c>
      <c r="G1107" s="9" t="n">
        <v>0.0069</v>
      </c>
      <c r="H1107" t="inlineStr">
        <is>
          <t>Low</t>
        </is>
      </c>
      <c r="I1107">
        <f>IF(G1107&gt;=Assumptions!$B$4,"Yes","No")</f>
        <v/>
      </c>
      <c r="J1107" s="8">
        <f>F1107*Assumptions!$B$6</f>
        <v/>
      </c>
      <c r="K1107" s="10">
        <f>G1107*J1107</f>
        <v/>
      </c>
      <c r="L1107" s="10">
        <f>IF(I1107="Yes",G1107*Assumptions!$B$5*J1107,0)</f>
        <v/>
      </c>
    </row>
    <row r="1108">
      <c r="A1108" t="n">
        <v>447</v>
      </c>
      <c r="B1108" t="inlineStr">
        <is>
          <t>Research &amp; Development</t>
        </is>
      </c>
      <c r="C1108" t="inlineStr">
        <is>
          <t>Research Director</t>
        </is>
      </c>
      <c r="D1108" t="inlineStr">
        <is>
          <t>No</t>
        </is>
      </c>
      <c r="E1108" s="8" t="n">
        <v>18300</v>
      </c>
      <c r="F1108" s="8">
        <f>E1108*Assumptions!$B$7</f>
        <v/>
      </c>
      <c r="G1108" s="9" t="n">
        <v>0.0068</v>
      </c>
      <c r="H1108" t="inlineStr">
        <is>
          <t>Low</t>
        </is>
      </c>
      <c r="I1108">
        <f>IF(G1108&gt;=Assumptions!$B$4,"Yes","No")</f>
        <v/>
      </c>
      <c r="J1108" s="8">
        <f>F1108*Assumptions!$B$6</f>
        <v/>
      </c>
      <c r="K1108" s="10">
        <f>G1108*J1108</f>
        <v/>
      </c>
      <c r="L1108" s="10">
        <f>IF(I1108="Yes",G1108*Assumptions!$B$5*J1108,0)</f>
        <v/>
      </c>
    </row>
    <row r="1109">
      <c r="A1109" t="n">
        <v>1552</v>
      </c>
      <c r="B1109" t="inlineStr">
        <is>
          <t>Research &amp; Development</t>
        </is>
      </c>
      <c r="C1109" t="inlineStr">
        <is>
          <t>Healthcare Representative</t>
        </is>
      </c>
      <c r="D1109" t="inlineStr">
        <is>
          <t>Yes</t>
        </is>
      </c>
      <c r="E1109" s="8" t="n">
        <v>4069</v>
      </c>
      <c r="F1109" s="8">
        <f>E1109*Assumptions!$B$7</f>
        <v/>
      </c>
      <c r="G1109" s="9" t="n">
        <v>0.0068</v>
      </c>
      <c r="H1109" t="inlineStr">
        <is>
          <t>Low</t>
        </is>
      </c>
      <c r="I1109">
        <f>IF(G1109&gt;=Assumptions!$B$4,"Yes","No")</f>
        <v/>
      </c>
      <c r="J1109" s="8">
        <f>F1109*Assumptions!$B$6</f>
        <v/>
      </c>
      <c r="K1109" s="10">
        <f>G1109*J1109</f>
        <v/>
      </c>
      <c r="L1109" s="10">
        <f>IF(I1109="Yes",G1109*Assumptions!$B$5*J1109,0)</f>
        <v/>
      </c>
    </row>
    <row r="1110">
      <c r="A1110" t="n">
        <v>969</v>
      </c>
      <c r="B1110" t="inlineStr">
        <is>
          <t>Research &amp; Development</t>
        </is>
      </c>
      <c r="C1110" t="inlineStr">
        <is>
          <t>Healthcare Representative</t>
        </is>
      </c>
      <c r="D1110" t="inlineStr">
        <is>
          <t>No</t>
        </is>
      </c>
      <c r="E1110" s="8" t="n">
        <v>6949</v>
      </c>
      <c r="F1110" s="8">
        <f>E1110*Assumptions!$B$7</f>
        <v/>
      </c>
      <c r="G1110" s="9" t="n">
        <v>0.0068</v>
      </c>
      <c r="H1110" t="inlineStr">
        <is>
          <t>Low</t>
        </is>
      </c>
      <c r="I1110">
        <f>IF(G1110&gt;=Assumptions!$B$4,"Yes","No")</f>
        <v/>
      </c>
      <c r="J1110" s="8">
        <f>F1110*Assumptions!$B$6</f>
        <v/>
      </c>
      <c r="K1110" s="10">
        <f>G1110*J1110</f>
        <v/>
      </c>
      <c r="L1110" s="10">
        <f>IF(I1110="Yes",G1110*Assumptions!$B$5*J1110,0)</f>
        <v/>
      </c>
    </row>
    <row r="1111">
      <c r="A1111" t="n">
        <v>1890</v>
      </c>
      <c r="B1111" t="inlineStr">
        <is>
          <t>Human Resources</t>
        </is>
      </c>
      <c r="C1111" t="inlineStr">
        <is>
          <t>Human Resources</t>
        </is>
      </c>
      <c r="D1111" t="inlineStr">
        <is>
          <t>No</t>
        </is>
      </c>
      <c r="E1111" s="8" t="n">
        <v>3886</v>
      </c>
      <c r="F1111" s="8">
        <f>E1111*Assumptions!$B$7</f>
        <v/>
      </c>
      <c r="G1111" s="9" t="n">
        <v>0.0067</v>
      </c>
      <c r="H1111" t="inlineStr">
        <is>
          <t>Low</t>
        </is>
      </c>
      <c r="I1111">
        <f>IF(G1111&gt;=Assumptions!$B$4,"Yes","No")</f>
        <v/>
      </c>
      <c r="J1111" s="8">
        <f>F1111*Assumptions!$B$6</f>
        <v/>
      </c>
      <c r="K1111" s="10">
        <f>G1111*J1111</f>
        <v/>
      </c>
      <c r="L1111" s="10">
        <f>IF(I1111="Yes",G1111*Assumptions!$B$5*J1111,0)</f>
        <v/>
      </c>
    </row>
    <row r="1112">
      <c r="A1112" t="n">
        <v>1369</v>
      </c>
      <c r="B1112" t="inlineStr">
        <is>
          <t>Research &amp; Development</t>
        </is>
      </c>
      <c r="C1112" t="inlineStr">
        <is>
          <t>Laboratory Technician</t>
        </is>
      </c>
      <c r="D1112" t="inlineStr">
        <is>
          <t>No</t>
        </is>
      </c>
      <c r="E1112" s="8" t="n">
        <v>5363</v>
      </c>
      <c r="F1112" s="8">
        <f>E1112*Assumptions!$B$7</f>
        <v/>
      </c>
      <c r="G1112" s="9" t="n">
        <v>0.0067</v>
      </c>
      <c r="H1112" t="inlineStr">
        <is>
          <t>Low</t>
        </is>
      </c>
      <c r="I1112">
        <f>IF(G1112&gt;=Assumptions!$B$4,"Yes","No")</f>
        <v/>
      </c>
      <c r="J1112" s="8">
        <f>F1112*Assumptions!$B$6</f>
        <v/>
      </c>
      <c r="K1112" s="10">
        <f>G1112*J1112</f>
        <v/>
      </c>
      <c r="L1112" s="10">
        <f>IF(I1112="Yes",G1112*Assumptions!$B$5*J1112,0)</f>
        <v/>
      </c>
    </row>
    <row r="1113">
      <c r="A1113" t="n">
        <v>1954</v>
      </c>
      <c r="B1113" t="inlineStr">
        <is>
          <t>Research &amp; Development</t>
        </is>
      </c>
      <c r="C1113" t="inlineStr">
        <is>
          <t>Healthcare Representative</t>
        </is>
      </c>
      <c r="D1113" t="inlineStr">
        <is>
          <t>No</t>
        </is>
      </c>
      <c r="E1113" s="8" t="n">
        <v>5373</v>
      </c>
      <c r="F1113" s="8">
        <f>E1113*Assumptions!$B$7</f>
        <v/>
      </c>
      <c r="G1113" s="9" t="n">
        <v>0.0067</v>
      </c>
      <c r="H1113" t="inlineStr">
        <is>
          <t>Low</t>
        </is>
      </c>
      <c r="I1113">
        <f>IF(G1113&gt;=Assumptions!$B$4,"Yes","No")</f>
        <v/>
      </c>
      <c r="J1113" s="8">
        <f>F1113*Assumptions!$B$6</f>
        <v/>
      </c>
      <c r="K1113" s="10">
        <f>G1113*J1113</f>
        <v/>
      </c>
      <c r="L1113" s="10">
        <f>IF(I1113="Yes",G1113*Assumptions!$B$5*J1113,0)</f>
        <v/>
      </c>
    </row>
    <row r="1114">
      <c r="A1114" t="n">
        <v>1707</v>
      </c>
      <c r="B1114" t="inlineStr">
        <is>
          <t>Research &amp; Development</t>
        </is>
      </c>
      <c r="C1114" t="inlineStr">
        <is>
          <t>Research Scientist</t>
        </is>
      </c>
      <c r="D1114" t="inlineStr">
        <is>
          <t>No</t>
        </is>
      </c>
      <c r="E1114" s="8" t="n">
        <v>4401</v>
      </c>
      <c r="F1114" s="8">
        <f>E1114*Assumptions!$B$7</f>
        <v/>
      </c>
      <c r="G1114" s="9" t="n">
        <v>0.0066</v>
      </c>
      <c r="H1114" t="inlineStr">
        <is>
          <t>Low</t>
        </is>
      </c>
      <c r="I1114">
        <f>IF(G1114&gt;=Assumptions!$B$4,"Yes","No")</f>
        <v/>
      </c>
      <c r="J1114" s="8">
        <f>F1114*Assumptions!$B$6</f>
        <v/>
      </c>
      <c r="K1114" s="10">
        <f>G1114*J1114</f>
        <v/>
      </c>
      <c r="L1114" s="10">
        <f>IF(I1114="Yes",G1114*Assumptions!$B$5*J1114,0)</f>
        <v/>
      </c>
    </row>
    <row r="1115">
      <c r="A1115" t="n">
        <v>1888</v>
      </c>
      <c r="B1115" t="inlineStr">
        <is>
          <t>Research &amp; Development</t>
        </is>
      </c>
      <c r="C1115" t="inlineStr">
        <is>
          <t>Manufacturing Director</t>
        </is>
      </c>
      <c r="D1115" t="inlineStr">
        <is>
          <t>No</t>
        </is>
      </c>
      <c r="E1115" s="8" t="n">
        <v>5906</v>
      </c>
      <c r="F1115" s="8">
        <f>E1115*Assumptions!$B$7</f>
        <v/>
      </c>
      <c r="G1115" s="9" t="n">
        <v>0.0066</v>
      </c>
      <c r="H1115" t="inlineStr">
        <is>
          <t>Low</t>
        </is>
      </c>
      <c r="I1115">
        <f>IF(G1115&gt;=Assumptions!$B$4,"Yes","No")</f>
        <v/>
      </c>
      <c r="J1115" s="8">
        <f>F1115*Assumptions!$B$6</f>
        <v/>
      </c>
      <c r="K1115" s="10">
        <f>G1115*J1115</f>
        <v/>
      </c>
      <c r="L1115" s="10">
        <f>IF(I1115="Yes",G1115*Assumptions!$B$5*J1115,0)</f>
        <v/>
      </c>
    </row>
    <row r="1116">
      <c r="A1116" t="n">
        <v>949</v>
      </c>
      <c r="B1116" t="inlineStr">
        <is>
          <t>Research &amp; Development</t>
        </is>
      </c>
      <c r="C1116" t="inlineStr">
        <is>
          <t>Research Scientist</t>
        </is>
      </c>
      <c r="D1116" t="inlineStr">
        <is>
          <t>No</t>
        </is>
      </c>
      <c r="E1116" s="8" t="n">
        <v>4678</v>
      </c>
      <c r="F1116" s="8">
        <f>E1116*Assumptions!$B$7</f>
        <v/>
      </c>
      <c r="G1116" s="9" t="n">
        <v>0.0065</v>
      </c>
      <c r="H1116" t="inlineStr">
        <is>
          <t>Low</t>
        </is>
      </c>
      <c r="I1116">
        <f>IF(G1116&gt;=Assumptions!$B$4,"Yes","No")</f>
        <v/>
      </c>
      <c r="J1116" s="8">
        <f>F1116*Assumptions!$B$6</f>
        <v/>
      </c>
      <c r="K1116" s="10">
        <f>G1116*J1116</f>
        <v/>
      </c>
      <c r="L1116" s="10">
        <f>IF(I1116="Yes",G1116*Assumptions!$B$5*J1116,0)</f>
        <v/>
      </c>
    </row>
    <row r="1117">
      <c r="A1117" t="n">
        <v>26</v>
      </c>
      <c r="B1117" t="inlineStr">
        <is>
          <t>Research &amp; Development</t>
        </is>
      </c>
      <c r="C1117" t="inlineStr">
        <is>
          <t>Manufacturing Director</t>
        </is>
      </c>
      <c r="D1117" t="inlineStr">
        <is>
          <t>No</t>
        </is>
      </c>
      <c r="E1117" s="8" t="n">
        <v>4011</v>
      </c>
      <c r="F1117" s="8">
        <f>E1117*Assumptions!$B$7</f>
        <v/>
      </c>
      <c r="G1117" s="9" t="n">
        <v>0.0064</v>
      </c>
      <c r="H1117" t="inlineStr">
        <is>
          <t>Low</t>
        </is>
      </c>
      <c r="I1117">
        <f>IF(G1117&gt;=Assumptions!$B$4,"Yes","No")</f>
        <v/>
      </c>
      <c r="J1117" s="8">
        <f>F1117*Assumptions!$B$6</f>
        <v/>
      </c>
      <c r="K1117" s="10">
        <f>G1117*J1117</f>
        <v/>
      </c>
      <c r="L1117" s="10">
        <f>IF(I1117="Yes",G1117*Assumptions!$B$5*J1117,0)</f>
        <v/>
      </c>
    </row>
    <row r="1118">
      <c r="A1118" t="n">
        <v>1026</v>
      </c>
      <c r="B1118" t="inlineStr">
        <is>
          <t>Research &amp; Development</t>
        </is>
      </c>
      <c r="C1118" t="inlineStr">
        <is>
          <t>Manufacturing Director</t>
        </is>
      </c>
      <c r="D1118" t="inlineStr">
        <is>
          <t>No</t>
        </is>
      </c>
      <c r="E1118" s="8" t="n">
        <v>12742</v>
      </c>
      <c r="F1118" s="8">
        <f>E1118*Assumptions!$B$7</f>
        <v/>
      </c>
      <c r="G1118" s="9" t="n">
        <v>0.0063</v>
      </c>
      <c r="H1118" t="inlineStr">
        <is>
          <t>Low</t>
        </is>
      </c>
      <c r="I1118">
        <f>IF(G1118&gt;=Assumptions!$B$4,"Yes","No")</f>
        <v/>
      </c>
      <c r="J1118" s="8">
        <f>F1118*Assumptions!$B$6</f>
        <v/>
      </c>
      <c r="K1118" s="10">
        <f>G1118*J1118</f>
        <v/>
      </c>
      <c r="L1118" s="10">
        <f>IF(I1118="Yes",G1118*Assumptions!$B$5*J1118,0)</f>
        <v/>
      </c>
    </row>
    <row r="1119">
      <c r="A1119" t="n">
        <v>827</v>
      </c>
      <c r="B1119" t="inlineStr">
        <is>
          <t>Research &amp; Development</t>
        </is>
      </c>
      <c r="C1119" t="inlineStr">
        <is>
          <t>Manufacturing Director</t>
        </is>
      </c>
      <c r="D1119" t="inlineStr">
        <is>
          <t>Yes</t>
        </is>
      </c>
      <c r="E1119" s="8" t="n">
        <v>6062</v>
      </c>
      <c r="F1119" s="8">
        <f>E1119*Assumptions!$B$7</f>
        <v/>
      </c>
      <c r="G1119" s="9" t="n">
        <v>0.0063</v>
      </c>
      <c r="H1119" t="inlineStr">
        <is>
          <t>Low</t>
        </is>
      </c>
      <c r="I1119">
        <f>IF(G1119&gt;=Assumptions!$B$4,"Yes","No")</f>
        <v/>
      </c>
      <c r="J1119" s="8">
        <f>F1119*Assumptions!$B$6</f>
        <v/>
      </c>
      <c r="K1119" s="10">
        <f>G1119*J1119</f>
        <v/>
      </c>
      <c r="L1119" s="10">
        <f>IF(I1119="Yes",G1119*Assumptions!$B$5*J1119,0)</f>
        <v/>
      </c>
    </row>
    <row r="1120">
      <c r="A1120" t="n">
        <v>253</v>
      </c>
      <c r="B1120" t="inlineStr">
        <is>
          <t>Research &amp; Development</t>
        </is>
      </c>
      <c r="C1120" t="inlineStr">
        <is>
          <t>Manager</t>
        </is>
      </c>
      <c r="D1120" t="inlineStr">
        <is>
          <t>No</t>
        </is>
      </c>
      <c r="E1120" s="8" t="n">
        <v>19033</v>
      </c>
      <c r="F1120" s="8">
        <f>E1120*Assumptions!$B$7</f>
        <v/>
      </c>
      <c r="G1120" s="9" t="n">
        <v>0.0061</v>
      </c>
      <c r="H1120" t="inlineStr">
        <is>
          <t>Low</t>
        </is>
      </c>
      <c r="I1120">
        <f>IF(G1120&gt;=Assumptions!$B$4,"Yes","No")</f>
        <v/>
      </c>
      <c r="J1120" s="8">
        <f>F1120*Assumptions!$B$6</f>
        <v/>
      </c>
      <c r="K1120" s="10">
        <f>G1120*J1120</f>
        <v/>
      </c>
      <c r="L1120" s="10">
        <f>IF(I1120="Yes",G1120*Assumptions!$B$5*J1120,0)</f>
        <v/>
      </c>
    </row>
    <row r="1121">
      <c r="A1121" t="n">
        <v>452</v>
      </c>
      <c r="B1121" t="inlineStr">
        <is>
          <t>Research &amp; Development</t>
        </is>
      </c>
      <c r="C1121" t="inlineStr">
        <is>
          <t>Research Scientist</t>
        </is>
      </c>
      <c r="D1121" t="inlineStr">
        <is>
          <t>No</t>
        </is>
      </c>
      <c r="E1121" s="8" t="n">
        <v>3697</v>
      </c>
      <c r="F1121" s="8">
        <f>E1121*Assumptions!$B$7</f>
        <v/>
      </c>
      <c r="G1121" s="9" t="n">
        <v>0.0059</v>
      </c>
      <c r="H1121" t="inlineStr">
        <is>
          <t>Low</t>
        </is>
      </c>
      <c r="I1121">
        <f>IF(G1121&gt;=Assumptions!$B$4,"Yes","No")</f>
        <v/>
      </c>
      <c r="J1121" s="8">
        <f>F1121*Assumptions!$B$6</f>
        <v/>
      </c>
      <c r="K1121" s="10">
        <f>G1121*J1121</f>
        <v/>
      </c>
      <c r="L1121" s="10">
        <f>IF(I1121="Yes",G1121*Assumptions!$B$5*J1121,0)</f>
        <v/>
      </c>
    </row>
    <row r="1122">
      <c r="A1122" t="n">
        <v>1088</v>
      </c>
      <c r="B1122" t="inlineStr">
        <is>
          <t>Research &amp; Development</t>
        </is>
      </c>
      <c r="C1122" t="inlineStr">
        <is>
          <t>Healthcare Representative</t>
        </is>
      </c>
      <c r="D1122" t="inlineStr">
        <is>
          <t>No</t>
        </is>
      </c>
      <c r="E1122" s="8" t="n">
        <v>8823</v>
      </c>
      <c r="F1122" s="8">
        <f>E1122*Assumptions!$B$7</f>
        <v/>
      </c>
      <c r="G1122" s="9" t="n">
        <v>0.0059</v>
      </c>
      <c r="H1122" t="inlineStr">
        <is>
          <t>Low</t>
        </is>
      </c>
      <c r="I1122">
        <f>IF(G1122&gt;=Assumptions!$B$4,"Yes","No")</f>
        <v/>
      </c>
      <c r="J1122" s="8">
        <f>F1122*Assumptions!$B$6</f>
        <v/>
      </c>
      <c r="K1122" s="10">
        <f>G1122*J1122</f>
        <v/>
      </c>
      <c r="L1122" s="10">
        <f>IF(I1122="Yes",G1122*Assumptions!$B$5*J1122,0)</f>
        <v/>
      </c>
    </row>
    <row r="1123">
      <c r="A1123" t="n">
        <v>441</v>
      </c>
      <c r="B1123" t="inlineStr">
        <is>
          <t>Research &amp; Development</t>
        </is>
      </c>
      <c r="C1123" t="inlineStr">
        <is>
          <t>Research Scientist</t>
        </is>
      </c>
      <c r="D1123" t="inlineStr">
        <is>
          <t>No</t>
        </is>
      </c>
      <c r="E1123" s="8" t="n">
        <v>5775</v>
      </c>
      <c r="F1123" s="8">
        <f>E1123*Assumptions!$B$7</f>
        <v/>
      </c>
      <c r="G1123" s="9" t="n">
        <v>0.0059</v>
      </c>
      <c r="H1123" t="inlineStr">
        <is>
          <t>Low</t>
        </is>
      </c>
      <c r="I1123">
        <f>IF(G1123&gt;=Assumptions!$B$4,"Yes","No")</f>
        <v/>
      </c>
      <c r="J1123" s="8">
        <f>F1123*Assumptions!$B$6</f>
        <v/>
      </c>
      <c r="K1123" s="10">
        <f>G1123*J1123</f>
        <v/>
      </c>
      <c r="L1123" s="10">
        <f>IF(I1123="Yes",G1123*Assumptions!$B$5*J1123,0)</f>
        <v/>
      </c>
    </row>
    <row r="1124">
      <c r="A1124" t="n">
        <v>1744</v>
      </c>
      <c r="B1124" t="inlineStr">
        <is>
          <t>Human Resources</t>
        </is>
      </c>
      <c r="C1124" t="inlineStr">
        <is>
          <t>Human Resources</t>
        </is>
      </c>
      <c r="D1124" t="inlineStr">
        <is>
          <t>No</t>
        </is>
      </c>
      <c r="E1124" s="8" t="n">
        <v>9756</v>
      </c>
      <c r="F1124" s="8">
        <f>E1124*Assumptions!$B$7</f>
        <v/>
      </c>
      <c r="G1124" s="9" t="n">
        <v>0.0059</v>
      </c>
      <c r="H1124" t="inlineStr">
        <is>
          <t>Low</t>
        </is>
      </c>
      <c r="I1124">
        <f>IF(G1124&gt;=Assumptions!$B$4,"Yes","No")</f>
        <v/>
      </c>
      <c r="J1124" s="8">
        <f>F1124*Assumptions!$B$6</f>
        <v/>
      </c>
      <c r="K1124" s="10">
        <f>G1124*J1124</f>
        <v/>
      </c>
      <c r="L1124" s="10">
        <f>IF(I1124="Yes",G1124*Assumptions!$B$5*J1124,0)</f>
        <v/>
      </c>
    </row>
    <row r="1125">
      <c r="A1125" t="n">
        <v>517</v>
      </c>
      <c r="B1125" t="inlineStr">
        <is>
          <t>Research &amp; Development</t>
        </is>
      </c>
      <c r="C1125" t="inlineStr">
        <is>
          <t>Laboratory Technician</t>
        </is>
      </c>
      <c r="D1125" t="inlineStr">
        <is>
          <t>No</t>
        </is>
      </c>
      <c r="E1125" s="8" t="n">
        <v>2576</v>
      </c>
      <c r="F1125" s="8">
        <f>E1125*Assumptions!$B$7</f>
        <v/>
      </c>
      <c r="G1125" s="9" t="n">
        <v>0.0058</v>
      </c>
      <c r="H1125" t="inlineStr">
        <is>
          <t>Low</t>
        </is>
      </c>
      <c r="I1125">
        <f>IF(G1125&gt;=Assumptions!$B$4,"Yes","No")</f>
        <v/>
      </c>
      <c r="J1125" s="8">
        <f>F1125*Assumptions!$B$6</f>
        <v/>
      </c>
      <c r="K1125" s="10">
        <f>G1125*J1125</f>
        <v/>
      </c>
      <c r="L1125" s="10">
        <f>IF(I1125="Yes",G1125*Assumptions!$B$5*J1125,0)</f>
        <v/>
      </c>
    </row>
    <row r="1126">
      <c r="A1126" t="n">
        <v>757</v>
      </c>
      <c r="B1126" t="inlineStr">
        <is>
          <t>Research &amp; Development</t>
        </is>
      </c>
      <c r="C1126" t="inlineStr">
        <is>
          <t>Healthcare Representative</t>
        </is>
      </c>
      <c r="D1126" t="inlineStr">
        <is>
          <t>No</t>
        </is>
      </c>
      <c r="E1126" s="8" t="n">
        <v>6142</v>
      </c>
      <c r="F1126" s="8">
        <f>E1126*Assumptions!$B$7</f>
        <v/>
      </c>
      <c r="G1126" s="9" t="n">
        <v>0.0058</v>
      </c>
      <c r="H1126" t="inlineStr">
        <is>
          <t>Low</t>
        </is>
      </c>
      <c r="I1126">
        <f>IF(G1126&gt;=Assumptions!$B$4,"Yes","No")</f>
        <v/>
      </c>
      <c r="J1126" s="8">
        <f>F1126*Assumptions!$B$6</f>
        <v/>
      </c>
      <c r="K1126" s="10">
        <f>G1126*J1126</f>
        <v/>
      </c>
      <c r="L1126" s="10">
        <f>IF(I1126="Yes",G1126*Assumptions!$B$5*J1126,0)</f>
        <v/>
      </c>
    </row>
    <row r="1127">
      <c r="A1127" t="n">
        <v>1005</v>
      </c>
      <c r="B1127" t="inlineStr">
        <is>
          <t>Research &amp; Development</t>
        </is>
      </c>
      <c r="C1127" t="inlineStr">
        <is>
          <t>Manufacturing Director</t>
        </is>
      </c>
      <c r="D1127" t="inlineStr">
        <is>
          <t>Yes</t>
        </is>
      </c>
      <c r="E1127" s="8" t="n">
        <v>13973</v>
      </c>
      <c r="F1127" s="8">
        <f>E1127*Assumptions!$B$7</f>
        <v/>
      </c>
      <c r="G1127" s="9" t="n">
        <v>0.0058</v>
      </c>
      <c r="H1127" t="inlineStr">
        <is>
          <t>Low</t>
        </is>
      </c>
      <c r="I1127">
        <f>IF(G1127&gt;=Assumptions!$B$4,"Yes","No")</f>
        <v/>
      </c>
      <c r="J1127" s="8">
        <f>F1127*Assumptions!$B$6</f>
        <v/>
      </c>
      <c r="K1127" s="10">
        <f>G1127*J1127</f>
        <v/>
      </c>
      <c r="L1127" s="10">
        <f>IF(I1127="Yes",G1127*Assumptions!$B$5*J1127,0)</f>
        <v/>
      </c>
    </row>
    <row r="1128">
      <c r="A1128" t="n">
        <v>1383</v>
      </c>
      <c r="B1128" t="inlineStr">
        <is>
          <t>Research &amp; Development</t>
        </is>
      </c>
      <c r="C1128" t="inlineStr">
        <is>
          <t>Healthcare Representative</t>
        </is>
      </c>
      <c r="D1128" t="inlineStr">
        <is>
          <t>No</t>
        </is>
      </c>
      <c r="E1128" s="8" t="n">
        <v>6687</v>
      </c>
      <c r="F1128" s="8">
        <f>E1128*Assumptions!$B$7</f>
        <v/>
      </c>
      <c r="G1128" s="9" t="n">
        <v>0.0057</v>
      </c>
      <c r="H1128" t="inlineStr">
        <is>
          <t>Low</t>
        </is>
      </c>
      <c r="I1128">
        <f>IF(G1128&gt;=Assumptions!$B$4,"Yes","No")</f>
        <v/>
      </c>
      <c r="J1128" s="8">
        <f>F1128*Assumptions!$B$6</f>
        <v/>
      </c>
      <c r="K1128" s="10">
        <f>G1128*J1128</f>
        <v/>
      </c>
      <c r="L1128" s="10">
        <f>IF(I1128="Yes",G1128*Assumptions!$B$5*J1128,0)</f>
        <v/>
      </c>
    </row>
    <row r="1129">
      <c r="A1129" t="n">
        <v>1346</v>
      </c>
      <c r="B1129" t="inlineStr">
        <is>
          <t>Research &amp; Development</t>
        </is>
      </c>
      <c r="C1129" t="inlineStr">
        <is>
          <t>Research Scientist</t>
        </is>
      </c>
      <c r="D1129" t="inlineStr">
        <is>
          <t>No</t>
        </is>
      </c>
      <c r="E1129" s="8" t="n">
        <v>4661</v>
      </c>
      <c r="F1129" s="8">
        <f>E1129*Assumptions!$B$7</f>
        <v/>
      </c>
      <c r="G1129" s="9" t="n">
        <v>0.0057</v>
      </c>
      <c r="H1129" t="inlineStr">
        <is>
          <t>Low</t>
        </is>
      </c>
      <c r="I1129">
        <f>IF(G1129&gt;=Assumptions!$B$4,"Yes","No")</f>
        <v/>
      </c>
      <c r="J1129" s="8">
        <f>F1129*Assumptions!$B$6</f>
        <v/>
      </c>
      <c r="K1129" s="10">
        <f>G1129*J1129</f>
        <v/>
      </c>
      <c r="L1129" s="10">
        <f>IF(I1129="Yes",G1129*Assumptions!$B$5*J1129,0)</f>
        <v/>
      </c>
    </row>
    <row r="1130">
      <c r="A1130" t="n">
        <v>630</v>
      </c>
      <c r="B1130" t="inlineStr">
        <is>
          <t>Research &amp; Development</t>
        </is>
      </c>
      <c r="C1130" t="inlineStr">
        <is>
          <t>Research Scientist</t>
        </is>
      </c>
      <c r="D1130" t="inlineStr">
        <is>
          <t>Yes</t>
        </is>
      </c>
      <c r="E1130" s="8" t="n">
        <v>5577</v>
      </c>
      <c r="F1130" s="8">
        <f>E1130*Assumptions!$B$7</f>
        <v/>
      </c>
      <c r="G1130" s="9" t="n">
        <v>0.0056</v>
      </c>
      <c r="H1130" t="inlineStr">
        <is>
          <t>Low</t>
        </is>
      </c>
      <c r="I1130">
        <f>IF(G1130&gt;=Assumptions!$B$4,"Yes","No")</f>
        <v/>
      </c>
      <c r="J1130" s="8">
        <f>F1130*Assumptions!$B$6</f>
        <v/>
      </c>
      <c r="K1130" s="10">
        <f>G1130*J1130</f>
        <v/>
      </c>
      <c r="L1130" s="10">
        <f>IF(I1130="Yes",G1130*Assumptions!$B$5*J1130,0)</f>
        <v/>
      </c>
    </row>
    <row r="1131">
      <c r="A1131" t="n">
        <v>338</v>
      </c>
      <c r="B1131" t="inlineStr">
        <is>
          <t>Research &amp; Development</t>
        </is>
      </c>
      <c r="C1131" t="inlineStr">
        <is>
          <t>Research Scientist</t>
        </is>
      </c>
      <c r="D1131" t="inlineStr">
        <is>
          <t>No</t>
        </is>
      </c>
      <c r="E1131" s="8" t="n">
        <v>2911</v>
      </c>
      <c r="F1131" s="8">
        <f>E1131*Assumptions!$B$7</f>
        <v/>
      </c>
      <c r="G1131" s="9" t="n">
        <v>0.0055</v>
      </c>
      <c r="H1131" t="inlineStr">
        <is>
          <t>Low</t>
        </is>
      </c>
      <c r="I1131">
        <f>IF(G1131&gt;=Assumptions!$B$4,"Yes","No")</f>
        <v/>
      </c>
      <c r="J1131" s="8">
        <f>F1131*Assumptions!$B$6</f>
        <v/>
      </c>
      <c r="K1131" s="10">
        <f>G1131*J1131</f>
        <v/>
      </c>
      <c r="L1131" s="10">
        <f>IF(I1131="Yes",G1131*Assumptions!$B$5*J1131,0)</f>
        <v/>
      </c>
    </row>
    <row r="1132">
      <c r="A1132" t="n">
        <v>1941</v>
      </c>
      <c r="B1132" t="inlineStr">
        <is>
          <t>Research &amp; Development</t>
        </is>
      </c>
      <c r="C1132" t="inlineStr">
        <is>
          <t>Research Director</t>
        </is>
      </c>
      <c r="D1132" t="inlineStr">
        <is>
          <t>No</t>
        </is>
      </c>
      <c r="E1132" s="8" t="n">
        <v>19161</v>
      </c>
      <c r="F1132" s="8">
        <f>E1132*Assumptions!$B$7</f>
        <v/>
      </c>
      <c r="G1132" s="9" t="n">
        <v>0.0054</v>
      </c>
      <c r="H1132" t="inlineStr">
        <is>
          <t>Low</t>
        </is>
      </c>
      <c r="I1132">
        <f>IF(G1132&gt;=Assumptions!$B$4,"Yes","No")</f>
        <v/>
      </c>
      <c r="J1132" s="8">
        <f>F1132*Assumptions!$B$6</f>
        <v/>
      </c>
      <c r="K1132" s="10">
        <f>G1132*J1132</f>
        <v/>
      </c>
      <c r="L1132" s="10">
        <f>IF(I1132="Yes",G1132*Assumptions!$B$5*J1132,0)</f>
        <v/>
      </c>
    </row>
    <row r="1133">
      <c r="A1133" t="n">
        <v>526</v>
      </c>
      <c r="B1133" t="inlineStr">
        <is>
          <t>Research &amp; Development</t>
        </is>
      </c>
      <c r="C1133" t="inlineStr">
        <is>
          <t>Healthcare Representative</t>
        </is>
      </c>
      <c r="D1133" t="inlineStr">
        <is>
          <t>Yes</t>
        </is>
      </c>
      <c r="E1133" s="8" t="n">
        <v>4522</v>
      </c>
      <c r="F1133" s="8">
        <f>E1133*Assumptions!$B$7</f>
        <v/>
      </c>
      <c r="G1133" s="9" t="n">
        <v>0.0054</v>
      </c>
      <c r="H1133" t="inlineStr">
        <is>
          <t>Low</t>
        </is>
      </c>
      <c r="I1133">
        <f>IF(G1133&gt;=Assumptions!$B$4,"Yes","No")</f>
        <v/>
      </c>
      <c r="J1133" s="8">
        <f>F1133*Assumptions!$B$6</f>
        <v/>
      </c>
      <c r="K1133" s="10">
        <f>G1133*J1133</f>
        <v/>
      </c>
      <c r="L1133" s="10">
        <f>IF(I1133="Yes",G1133*Assumptions!$B$5*J1133,0)</f>
        <v/>
      </c>
    </row>
    <row r="1134">
      <c r="A1134" t="n">
        <v>1085</v>
      </c>
      <c r="B1134" t="inlineStr">
        <is>
          <t>Research &amp; Development</t>
        </is>
      </c>
      <c r="C1134" t="inlineStr">
        <is>
          <t>Research Scientist</t>
        </is>
      </c>
      <c r="D1134" t="inlineStr">
        <is>
          <t>No</t>
        </is>
      </c>
      <c r="E1134" s="8" t="n">
        <v>3376</v>
      </c>
      <c r="F1134" s="8">
        <f>E1134*Assumptions!$B$7</f>
        <v/>
      </c>
      <c r="G1134" s="9" t="n">
        <v>0.0053</v>
      </c>
      <c r="H1134" t="inlineStr">
        <is>
          <t>Low</t>
        </is>
      </c>
      <c r="I1134">
        <f>IF(G1134&gt;=Assumptions!$B$4,"Yes","No")</f>
        <v/>
      </c>
      <c r="J1134" s="8">
        <f>F1134*Assumptions!$B$6</f>
        <v/>
      </c>
      <c r="K1134" s="10">
        <f>G1134*J1134</f>
        <v/>
      </c>
      <c r="L1134" s="10">
        <f>IF(I1134="Yes",G1134*Assumptions!$B$5*J1134,0)</f>
        <v/>
      </c>
    </row>
    <row r="1135">
      <c r="A1135" t="n">
        <v>1201</v>
      </c>
      <c r="B1135" t="inlineStr">
        <is>
          <t>Research &amp; Development</t>
        </is>
      </c>
      <c r="C1135" t="inlineStr">
        <is>
          <t>Manager</t>
        </is>
      </c>
      <c r="D1135" t="inlineStr">
        <is>
          <t>No</t>
        </is>
      </c>
      <c r="E1135" s="8" t="n">
        <v>18606</v>
      </c>
      <c r="F1135" s="8">
        <f>E1135*Assumptions!$B$7</f>
        <v/>
      </c>
      <c r="G1135" s="9" t="n">
        <v>0.0053</v>
      </c>
      <c r="H1135" t="inlineStr">
        <is>
          <t>Low</t>
        </is>
      </c>
      <c r="I1135">
        <f>IF(G1135&gt;=Assumptions!$B$4,"Yes","No")</f>
        <v/>
      </c>
      <c r="J1135" s="8">
        <f>F1135*Assumptions!$B$6</f>
        <v/>
      </c>
      <c r="K1135" s="10">
        <f>G1135*J1135</f>
        <v/>
      </c>
      <c r="L1135" s="10">
        <f>IF(I1135="Yes",G1135*Assumptions!$B$5*J1135,0)</f>
        <v/>
      </c>
    </row>
    <row r="1136">
      <c r="A1136" t="n">
        <v>1625</v>
      </c>
      <c r="B1136" t="inlineStr">
        <is>
          <t>Human Resources</t>
        </is>
      </c>
      <c r="C1136" t="inlineStr">
        <is>
          <t>Manager</t>
        </is>
      </c>
      <c r="D1136" t="inlineStr">
        <is>
          <t>No</t>
        </is>
      </c>
      <c r="E1136" s="8" t="n">
        <v>19658</v>
      </c>
      <c r="F1136" s="8">
        <f>E1136*Assumptions!$B$7</f>
        <v/>
      </c>
      <c r="G1136" s="9" t="n">
        <v>0.0053</v>
      </c>
      <c r="H1136" t="inlineStr">
        <is>
          <t>Low</t>
        </is>
      </c>
      <c r="I1136">
        <f>IF(G1136&gt;=Assumptions!$B$4,"Yes","No")</f>
        <v/>
      </c>
      <c r="J1136" s="8">
        <f>F1136*Assumptions!$B$6</f>
        <v/>
      </c>
      <c r="K1136" s="10">
        <f>G1136*J1136</f>
        <v/>
      </c>
      <c r="L1136" s="10">
        <f>IF(I1136="Yes",G1136*Assumptions!$B$5*J1136,0)</f>
        <v/>
      </c>
    </row>
    <row r="1137">
      <c r="A1137" t="n">
        <v>1627</v>
      </c>
      <c r="B1137" t="inlineStr">
        <is>
          <t>Research &amp; Development</t>
        </is>
      </c>
      <c r="C1137" t="inlineStr">
        <is>
          <t>Laboratory Technician</t>
        </is>
      </c>
      <c r="D1137" t="inlineStr">
        <is>
          <t>No</t>
        </is>
      </c>
      <c r="E1137" s="8" t="n">
        <v>3069</v>
      </c>
      <c r="F1137" s="8">
        <f>E1137*Assumptions!$B$7</f>
        <v/>
      </c>
      <c r="G1137" s="9" t="n">
        <v>0.0052</v>
      </c>
      <c r="H1137" t="inlineStr">
        <is>
          <t>Low</t>
        </is>
      </c>
      <c r="I1137">
        <f>IF(G1137&gt;=Assumptions!$B$4,"Yes","No")</f>
        <v/>
      </c>
      <c r="J1137" s="8">
        <f>F1137*Assumptions!$B$6</f>
        <v/>
      </c>
      <c r="K1137" s="10">
        <f>G1137*J1137</f>
        <v/>
      </c>
      <c r="L1137" s="10">
        <f>IF(I1137="Yes",G1137*Assumptions!$B$5*J1137,0)</f>
        <v/>
      </c>
    </row>
    <row r="1138">
      <c r="A1138" t="n">
        <v>1653</v>
      </c>
      <c r="B1138" t="inlineStr">
        <is>
          <t>Research &amp; Development</t>
        </is>
      </c>
      <c r="C1138" t="inlineStr">
        <is>
          <t>Manufacturing Director</t>
        </is>
      </c>
      <c r="D1138" t="inlineStr">
        <is>
          <t>No</t>
        </is>
      </c>
      <c r="E1138" s="8" t="n">
        <v>5206</v>
      </c>
      <c r="F1138" s="8">
        <f>E1138*Assumptions!$B$7</f>
        <v/>
      </c>
      <c r="G1138" s="9" t="n">
        <v>0.005</v>
      </c>
      <c r="H1138" t="inlineStr">
        <is>
          <t>Low</t>
        </is>
      </c>
      <c r="I1138">
        <f>IF(G1138&gt;=Assumptions!$B$4,"Yes","No")</f>
        <v/>
      </c>
      <c r="J1138" s="8">
        <f>F1138*Assumptions!$B$6</f>
        <v/>
      </c>
      <c r="K1138" s="10">
        <f>G1138*J1138</f>
        <v/>
      </c>
      <c r="L1138" s="10">
        <f>IF(I1138="Yes",G1138*Assumptions!$B$5*J1138,0)</f>
        <v/>
      </c>
    </row>
    <row r="1139">
      <c r="A1139" t="n">
        <v>86</v>
      </c>
      <c r="B1139" t="inlineStr">
        <is>
          <t>Research &amp; Development</t>
        </is>
      </c>
      <c r="C1139" t="inlineStr">
        <is>
          <t>Research Scientist</t>
        </is>
      </c>
      <c r="D1139" t="inlineStr">
        <is>
          <t>No</t>
        </is>
      </c>
      <c r="E1139" s="8" t="n">
        <v>9724</v>
      </c>
      <c r="F1139" s="8">
        <f>E1139*Assumptions!$B$7</f>
        <v/>
      </c>
      <c r="G1139" s="9" t="n">
        <v>0.005</v>
      </c>
      <c r="H1139" t="inlineStr">
        <is>
          <t>Low</t>
        </is>
      </c>
      <c r="I1139">
        <f>IF(G1139&gt;=Assumptions!$B$4,"Yes","No")</f>
        <v/>
      </c>
      <c r="J1139" s="8">
        <f>F1139*Assumptions!$B$6</f>
        <v/>
      </c>
      <c r="K1139" s="10">
        <f>G1139*J1139</f>
        <v/>
      </c>
      <c r="L1139" s="10">
        <f>IF(I1139="Yes",G1139*Assumptions!$B$5*J1139,0)</f>
        <v/>
      </c>
    </row>
    <row r="1140">
      <c r="A1140" t="n">
        <v>2048</v>
      </c>
      <c r="B1140" t="inlineStr">
        <is>
          <t>Research &amp; Development</t>
        </is>
      </c>
      <c r="C1140" t="inlineStr">
        <is>
          <t>Research Scientist</t>
        </is>
      </c>
      <c r="D1140" t="inlineStr">
        <is>
          <t>No</t>
        </is>
      </c>
      <c r="E1140" s="8" t="n">
        <v>2809</v>
      </c>
      <c r="F1140" s="8">
        <f>E1140*Assumptions!$B$7</f>
        <v/>
      </c>
      <c r="G1140" s="9" t="n">
        <v>0.0049</v>
      </c>
      <c r="H1140" t="inlineStr">
        <is>
          <t>Low</t>
        </is>
      </c>
      <c r="I1140">
        <f>IF(G1140&gt;=Assumptions!$B$4,"Yes","No")</f>
        <v/>
      </c>
      <c r="J1140" s="8">
        <f>F1140*Assumptions!$B$6</f>
        <v/>
      </c>
      <c r="K1140" s="10">
        <f>G1140*J1140</f>
        <v/>
      </c>
      <c r="L1140" s="10">
        <f>IF(I1140="Yes",G1140*Assumptions!$B$5*J1140,0)</f>
        <v/>
      </c>
    </row>
    <row r="1141">
      <c r="A1141" t="n">
        <v>32</v>
      </c>
      <c r="B1141" t="inlineStr">
        <is>
          <t>Research &amp; Development</t>
        </is>
      </c>
      <c r="C1141" t="inlineStr">
        <is>
          <t>Manager</t>
        </is>
      </c>
      <c r="D1141" t="inlineStr">
        <is>
          <t>No</t>
        </is>
      </c>
      <c r="E1141" s="8" t="n">
        <v>19094</v>
      </c>
      <c r="F1141" s="8">
        <f>E1141*Assumptions!$B$7</f>
        <v/>
      </c>
      <c r="G1141" s="9" t="n">
        <v>0.0048</v>
      </c>
      <c r="H1141" t="inlineStr">
        <is>
          <t>Low</t>
        </is>
      </c>
      <c r="I1141">
        <f>IF(G1141&gt;=Assumptions!$B$4,"Yes","No")</f>
        <v/>
      </c>
      <c r="J1141" s="8">
        <f>F1141*Assumptions!$B$6</f>
        <v/>
      </c>
      <c r="K1141" s="10">
        <f>G1141*J1141</f>
        <v/>
      </c>
      <c r="L1141" s="10">
        <f>IF(I1141="Yes",G1141*Assumptions!$B$5*J1141,0)</f>
        <v/>
      </c>
    </row>
    <row r="1142">
      <c r="A1142" t="n">
        <v>1799</v>
      </c>
      <c r="B1142" t="inlineStr">
        <is>
          <t>Research &amp; Development</t>
        </is>
      </c>
      <c r="C1142" t="inlineStr">
        <is>
          <t>Research Scientist</t>
        </is>
      </c>
      <c r="D1142" t="inlineStr">
        <is>
          <t>No</t>
        </is>
      </c>
      <c r="E1142" s="8" t="n">
        <v>2044</v>
      </c>
      <c r="F1142" s="8">
        <f>E1142*Assumptions!$B$7</f>
        <v/>
      </c>
      <c r="G1142" s="9" t="n">
        <v>0.0048</v>
      </c>
      <c r="H1142" t="inlineStr">
        <is>
          <t>Low</t>
        </is>
      </c>
      <c r="I1142">
        <f>IF(G1142&gt;=Assumptions!$B$4,"Yes","No")</f>
        <v/>
      </c>
      <c r="J1142" s="8">
        <f>F1142*Assumptions!$B$6</f>
        <v/>
      </c>
      <c r="K1142" s="10">
        <f>G1142*J1142</f>
        <v/>
      </c>
      <c r="L1142" s="10">
        <f>IF(I1142="Yes",G1142*Assumptions!$B$5*J1142,0)</f>
        <v/>
      </c>
    </row>
    <row r="1143">
      <c r="A1143" t="n">
        <v>2017</v>
      </c>
      <c r="B1143" t="inlineStr">
        <is>
          <t>Research &amp; Development</t>
        </is>
      </c>
      <c r="C1143" t="inlineStr">
        <is>
          <t>Research Director</t>
        </is>
      </c>
      <c r="D1143" t="inlineStr">
        <is>
          <t>Yes</t>
        </is>
      </c>
      <c r="E1143" s="8" t="n">
        <v>13744</v>
      </c>
      <c r="F1143" s="8">
        <f>E1143*Assumptions!$B$7</f>
        <v/>
      </c>
      <c r="G1143" s="9" t="n">
        <v>0.0048</v>
      </c>
      <c r="H1143" t="inlineStr">
        <is>
          <t>Low</t>
        </is>
      </c>
      <c r="I1143">
        <f>IF(G1143&gt;=Assumptions!$B$4,"Yes","No")</f>
        <v/>
      </c>
      <c r="J1143" s="8">
        <f>F1143*Assumptions!$B$6</f>
        <v/>
      </c>
      <c r="K1143" s="10">
        <f>G1143*J1143</f>
        <v/>
      </c>
      <c r="L1143" s="10">
        <f>IF(I1143="Yes",G1143*Assumptions!$B$5*J1143,0)</f>
        <v/>
      </c>
    </row>
    <row r="1144">
      <c r="A1144" t="n">
        <v>1703</v>
      </c>
      <c r="B1144" t="inlineStr">
        <is>
          <t>Research &amp; Development</t>
        </is>
      </c>
      <c r="C1144" t="inlineStr">
        <is>
          <t>Healthcare Representative</t>
        </is>
      </c>
      <c r="D1144" t="inlineStr">
        <is>
          <t>Yes</t>
        </is>
      </c>
      <c r="E1144" s="8" t="n">
        <v>7879</v>
      </c>
      <c r="F1144" s="8">
        <f>E1144*Assumptions!$B$7</f>
        <v/>
      </c>
      <c r="G1144" s="9" t="n">
        <v>0.0047</v>
      </c>
      <c r="H1144" t="inlineStr">
        <is>
          <t>Low</t>
        </is>
      </c>
      <c r="I1144">
        <f>IF(G1144&gt;=Assumptions!$B$4,"Yes","No")</f>
        <v/>
      </c>
      <c r="J1144" s="8">
        <f>F1144*Assumptions!$B$6</f>
        <v/>
      </c>
      <c r="K1144" s="10">
        <f>G1144*J1144</f>
        <v/>
      </c>
      <c r="L1144" s="10">
        <f>IF(I1144="Yes",G1144*Assumptions!$B$5*J1144,0)</f>
        <v/>
      </c>
    </row>
    <row r="1145">
      <c r="A1145" t="n">
        <v>1774</v>
      </c>
      <c r="B1145" t="inlineStr">
        <is>
          <t>Sales</t>
        </is>
      </c>
      <c r="C1145" t="inlineStr">
        <is>
          <t>Sales Executive</t>
        </is>
      </c>
      <c r="D1145" t="inlineStr">
        <is>
          <t>Yes</t>
        </is>
      </c>
      <c r="E1145" s="8" t="n">
        <v>4001</v>
      </c>
      <c r="F1145" s="8">
        <f>E1145*Assumptions!$B$7</f>
        <v/>
      </c>
      <c r="G1145" s="9" t="n">
        <v>0.0046</v>
      </c>
      <c r="H1145" t="inlineStr">
        <is>
          <t>Low</t>
        </is>
      </c>
      <c r="I1145">
        <f>IF(G1145&gt;=Assumptions!$B$4,"Yes","No")</f>
        <v/>
      </c>
      <c r="J1145" s="8">
        <f>F1145*Assumptions!$B$6</f>
        <v/>
      </c>
      <c r="K1145" s="10">
        <f>G1145*J1145</f>
        <v/>
      </c>
      <c r="L1145" s="10">
        <f>IF(I1145="Yes",G1145*Assumptions!$B$5*J1145,0)</f>
        <v/>
      </c>
    </row>
    <row r="1146">
      <c r="A1146" t="n">
        <v>1858</v>
      </c>
      <c r="B1146" t="inlineStr">
        <is>
          <t>Human Resources</t>
        </is>
      </c>
      <c r="C1146" t="inlineStr">
        <is>
          <t>Human Resources</t>
        </is>
      </c>
      <c r="D1146" t="inlineStr">
        <is>
          <t>No</t>
        </is>
      </c>
      <c r="E1146" s="8" t="n">
        <v>2706</v>
      </c>
      <c r="F1146" s="8">
        <f>E1146*Assumptions!$B$7</f>
        <v/>
      </c>
      <c r="G1146" s="9" t="n">
        <v>0.0046</v>
      </c>
      <c r="H1146" t="inlineStr">
        <is>
          <t>Low</t>
        </is>
      </c>
      <c r="I1146">
        <f>IF(G1146&gt;=Assumptions!$B$4,"Yes","No")</f>
        <v/>
      </c>
      <c r="J1146" s="8">
        <f>F1146*Assumptions!$B$6</f>
        <v/>
      </c>
      <c r="K1146" s="10">
        <f>G1146*J1146</f>
        <v/>
      </c>
      <c r="L1146" s="10">
        <f>IF(I1146="Yes",G1146*Assumptions!$B$5*J1146,0)</f>
        <v/>
      </c>
    </row>
    <row r="1147">
      <c r="A1147" t="n">
        <v>140</v>
      </c>
      <c r="B1147" t="inlineStr">
        <is>
          <t>Human Resources</t>
        </is>
      </c>
      <c r="C1147" t="inlineStr">
        <is>
          <t>Manager</t>
        </is>
      </c>
      <c r="D1147" t="inlineStr">
        <is>
          <t>No</t>
        </is>
      </c>
      <c r="E1147" s="8" t="n">
        <v>18844</v>
      </c>
      <c r="F1147" s="8">
        <f>E1147*Assumptions!$B$7</f>
        <v/>
      </c>
      <c r="G1147" s="9" t="n">
        <v>0.0046</v>
      </c>
      <c r="H1147" t="inlineStr">
        <is>
          <t>Low</t>
        </is>
      </c>
      <c r="I1147">
        <f>IF(G1147&gt;=Assumptions!$B$4,"Yes","No")</f>
        <v/>
      </c>
      <c r="J1147" s="8">
        <f>F1147*Assumptions!$B$6</f>
        <v/>
      </c>
      <c r="K1147" s="10">
        <f>G1147*J1147</f>
        <v/>
      </c>
      <c r="L1147" s="10">
        <f>IF(I1147="Yes",G1147*Assumptions!$B$5*J1147,0)</f>
        <v/>
      </c>
    </row>
    <row r="1148">
      <c r="A1148" t="n">
        <v>791</v>
      </c>
      <c r="B1148" t="inlineStr">
        <is>
          <t>Research &amp; Development</t>
        </is>
      </c>
      <c r="C1148" t="inlineStr">
        <is>
          <t>Research Scientist</t>
        </is>
      </c>
      <c r="D1148" t="inlineStr">
        <is>
          <t>No</t>
        </is>
      </c>
      <c r="E1148" s="8" t="n">
        <v>4258</v>
      </c>
      <c r="F1148" s="8">
        <f>E1148*Assumptions!$B$7</f>
        <v/>
      </c>
      <c r="G1148" s="9" t="n">
        <v>0.0046</v>
      </c>
      <c r="H1148" t="inlineStr">
        <is>
          <t>Low</t>
        </is>
      </c>
      <c r="I1148">
        <f>IF(G1148&gt;=Assumptions!$B$4,"Yes","No")</f>
        <v/>
      </c>
      <c r="J1148" s="8">
        <f>F1148*Assumptions!$B$6</f>
        <v/>
      </c>
      <c r="K1148" s="10">
        <f>G1148*J1148</f>
        <v/>
      </c>
      <c r="L1148" s="10">
        <f>IF(I1148="Yes",G1148*Assumptions!$B$5*J1148,0)</f>
        <v/>
      </c>
    </row>
    <row r="1149">
      <c r="A1149" t="n">
        <v>996</v>
      </c>
      <c r="B1149" t="inlineStr">
        <is>
          <t>Research &amp; Development</t>
        </is>
      </c>
      <c r="C1149" t="inlineStr">
        <is>
          <t>Laboratory Technician</t>
        </is>
      </c>
      <c r="D1149" t="inlineStr">
        <is>
          <t>No</t>
        </is>
      </c>
      <c r="E1149" s="8" t="n">
        <v>2270</v>
      </c>
      <c r="F1149" s="8">
        <f>E1149*Assumptions!$B$7</f>
        <v/>
      </c>
      <c r="G1149" s="9" t="n">
        <v>0.0046</v>
      </c>
      <c r="H1149" t="inlineStr">
        <is>
          <t>Low</t>
        </is>
      </c>
      <c r="I1149">
        <f>IF(G1149&gt;=Assumptions!$B$4,"Yes","No")</f>
        <v/>
      </c>
      <c r="J1149" s="8">
        <f>F1149*Assumptions!$B$6</f>
        <v/>
      </c>
      <c r="K1149" s="10">
        <f>G1149*J1149</f>
        <v/>
      </c>
      <c r="L1149" s="10">
        <f>IF(I1149="Yes",G1149*Assumptions!$B$5*J1149,0)</f>
        <v/>
      </c>
    </row>
    <row r="1150">
      <c r="A1150" t="n">
        <v>96</v>
      </c>
      <c r="B1150" t="inlineStr">
        <is>
          <t>Research &amp; Development</t>
        </is>
      </c>
      <c r="C1150" t="inlineStr">
        <is>
          <t>Research Scientist</t>
        </is>
      </c>
      <c r="D1150" t="inlineStr">
        <is>
          <t>No</t>
        </is>
      </c>
      <c r="E1150" s="8" t="n">
        <v>6220</v>
      </c>
      <c r="F1150" s="8">
        <f>E1150*Assumptions!$B$7</f>
        <v/>
      </c>
      <c r="G1150" s="9" t="n">
        <v>0.0045</v>
      </c>
      <c r="H1150" t="inlineStr">
        <is>
          <t>Low</t>
        </is>
      </c>
      <c r="I1150">
        <f>IF(G1150&gt;=Assumptions!$B$4,"Yes","No")</f>
        <v/>
      </c>
      <c r="J1150" s="8">
        <f>F1150*Assumptions!$B$6</f>
        <v/>
      </c>
      <c r="K1150" s="10">
        <f>G1150*J1150</f>
        <v/>
      </c>
      <c r="L1150" s="10">
        <f>IF(I1150="Yes",G1150*Assumptions!$B$5*J1150,0)</f>
        <v/>
      </c>
    </row>
    <row r="1151">
      <c r="A1151" t="n">
        <v>1870</v>
      </c>
      <c r="B1151" t="inlineStr">
        <is>
          <t>Research &amp; Development</t>
        </is>
      </c>
      <c r="C1151" t="inlineStr">
        <is>
          <t>Research Scientist</t>
        </is>
      </c>
      <c r="D1151" t="inlineStr">
        <is>
          <t>No</t>
        </is>
      </c>
      <c r="E1151" s="8" t="n">
        <v>4774</v>
      </c>
      <c r="F1151" s="8">
        <f>E1151*Assumptions!$B$7</f>
        <v/>
      </c>
      <c r="G1151" s="9" t="n">
        <v>0.0045</v>
      </c>
      <c r="H1151" t="inlineStr">
        <is>
          <t>Low</t>
        </is>
      </c>
      <c r="I1151">
        <f>IF(G1151&gt;=Assumptions!$B$4,"Yes","No")</f>
        <v/>
      </c>
      <c r="J1151" s="8">
        <f>F1151*Assumptions!$B$6</f>
        <v/>
      </c>
      <c r="K1151" s="10">
        <f>G1151*J1151</f>
        <v/>
      </c>
      <c r="L1151" s="10">
        <f>IF(I1151="Yes",G1151*Assumptions!$B$5*J1151,0)</f>
        <v/>
      </c>
    </row>
    <row r="1152">
      <c r="A1152" t="n">
        <v>1580</v>
      </c>
      <c r="B1152" t="inlineStr">
        <is>
          <t>Research &amp; Development</t>
        </is>
      </c>
      <c r="C1152" t="inlineStr">
        <is>
          <t>Research Scientist</t>
        </is>
      </c>
      <c r="D1152" t="inlineStr">
        <is>
          <t>No</t>
        </is>
      </c>
      <c r="E1152" s="8" t="n">
        <v>5484</v>
      </c>
      <c r="F1152" s="8">
        <f>E1152*Assumptions!$B$7</f>
        <v/>
      </c>
      <c r="G1152" s="9" t="n">
        <v>0.0044</v>
      </c>
      <c r="H1152" t="inlineStr">
        <is>
          <t>Low</t>
        </is>
      </c>
      <c r="I1152">
        <f>IF(G1152&gt;=Assumptions!$B$4,"Yes","No")</f>
        <v/>
      </c>
      <c r="J1152" s="8">
        <f>F1152*Assumptions!$B$6</f>
        <v/>
      </c>
      <c r="K1152" s="10">
        <f>G1152*J1152</f>
        <v/>
      </c>
      <c r="L1152" s="10">
        <f>IF(I1152="Yes",G1152*Assumptions!$B$5*J1152,0)</f>
        <v/>
      </c>
    </row>
    <row r="1153">
      <c r="A1153" t="n">
        <v>1408</v>
      </c>
      <c r="B1153" t="inlineStr">
        <is>
          <t>Human Resources</t>
        </is>
      </c>
      <c r="C1153" t="inlineStr">
        <is>
          <t>Manager</t>
        </is>
      </c>
      <c r="D1153" t="inlineStr">
        <is>
          <t>No</t>
        </is>
      </c>
      <c r="E1153" s="8" t="n">
        <v>16799</v>
      </c>
      <c r="F1153" s="8">
        <f>E1153*Assumptions!$B$7</f>
        <v/>
      </c>
      <c r="G1153" s="9" t="n">
        <v>0.0044</v>
      </c>
      <c r="H1153" t="inlineStr">
        <is>
          <t>Low</t>
        </is>
      </c>
      <c r="I1153">
        <f>IF(G1153&gt;=Assumptions!$B$4,"Yes","No")</f>
        <v/>
      </c>
      <c r="J1153" s="8">
        <f>F1153*Assumptions!$B$6</f>
        <v/>
      </c>
      <c r="K1153" s="10">
        <f>G1153*J1153</f>
        <v/>
      </c>
      <c r="L1153" s="10">
        <f>IF(I1153="Yes",G1153*Assumptions!$B$5*J1153,0)</f>
        <v/>
      </c>
    </row>
    <row r="1154">
      <c r="A1154" t="n">
        <v>252</v>
      </c>
      <c r="B1154" t="inlineStr">
        <is>
          <t>Research &amp; Development</t>
        </is>
      </c>
      <c r="C1154" t="inlineStr">
        <is>
          <t>Research Scientist</t>
        </is>
      </c>
      <c r="D1154" t="inlineStr">
        <is>
          <t>No</t>
        </is>
      </c>
      <c r="E1154" s="8" t="n">
        <v>2756</v>
      </c>
      <c r="F1154" s="8">
        <f>E1154*Assumptions!$B$7</f>
        <v/>
      </c>
      <c r="G1154" s="9" t="n">
        <v>0.0043</v>
      </c>
      <c r="H1154" t="inlineStr">
        <is>
          <t>Low</t>
        </is>
      </c>
      <c r="I1154">
        <f>IF(G1154&gt;=Assumptions!$B$4,"Yes","No")</f>
        <v/>
      </c>
      <c r="J1154" s="8">
        <f>F1154*Assumptions!$B$6</f>
        <v/>
      </c>
      <c r="K1154" s="10">
        <f>G1154*J1154</f>
        <v/>
      </c>
      <c r="L1154" s="10">
        <f>IF(I1154="Yes",G1154*Assumptions!$B$5*J1154,0)</f>
        <v/>
      </c>
    </row>
    <row r="1155">
      <c r="A1155" t="n">
        <v>550</v>
      </c>
      <c r="B1155" t="inlineStr">
        <is>
          <t>Research &amp; Development</t>
        </is>
      </c>
      <c r="C1155" t="inlineStr">
        <is>
          <t>Manufacturing Director</t>
        </is>
      </c>
      <c r="D1155" t="inlineStr">
        <is>
          <t>No</t>
        </is>
      </c>
      <c r="E1155" s="8" t="n">
        <v>4810</v>
      </c>
      <c r="F1155" s="8">
        <f>E1155*Assumptions!$B$7</f>
        <v/>
      </c>
      <c r="G1155" s="9" t="n">
        <v>0.0043</v>
      </c>
      <c r="H1155" t="inlineStr">
        <is>
          <t>Low</t>
        </is>
      </c>
      <c r="I1155">
        <f>IF(G1155&gt;=Assumptions!$B$4,"Yes","No")</f>
        <v/>
      </c>
      <c r="J1155" s="8">
        <f>F1155*Assumptions!$B$6</f>
        <v/>
      </c>
      <c r="K1155" s="10">
        <f>G1155*J1155</f>
        <v/>
      </c>
      <c r="L1155" s="10">
        <f>IF(I1155="Yes",G1155*Assumptions!$B$5*J1155,0)</f>
        <v/>
      </c>
    </row>
    <row r="1156">
      <c r="A1156" t="n">
        <v>2026</v>
      </c>
      <c r="B1156" t="inlineStr">
        <is>
          <t>Research &amp; Development</t>
        </is>
      </c>
      <c r="C1156" t="inlineStr">
        <is>
          <t>Healthcare Representative</t>
        </is>
      </c>
      <c r="D1156" t="inlineStr">
        <is>
          <t>No</t>
        </is>
      </c>
      <c r="E1156" s="8" t="n">
        <v>6306</v>
      </c>
      <c r="F1156" s="8">
        <f>E1156*Assumptions!$B$7</f>
        <v/>
      </c>
      <c r="G1156" s="9" t="n">
        <v>0.0043</v>
      </c>
      <c r="H1156" t="inlineStr">
        <is>
          <t>Low</t>
        </is>
      </c>
      <c r="I1156">
        <f>IF(G1156&gt;=Assumptions!$B$4,"Yes","No")</f>
        <v/>
      </c>
      <c r="J1156" s="8">
        <f>F1156*Assumptions!$B$6</f>
        <v/>
      </c>
      <c r="K1156" s="10">
        <f>G1156*J1156</f>
        <v/>
      </c>
      <c r="L1156" s="10">
        <f>IF(I1156="Yes",G1156*Assumptions!$B$5*J1156,0)</f>
        <v/>
      </c>
    </row>
    <row r="1157">
      <c r="A1157" t="n">
        <v>1468</v>
      </c>
      <c r="B1157" t="inlineStr">
        <is>
          <t>Research &amp; Development</t>
        </is>
      </c>
      <c r="C1157" t="inlineStr">
        <is>
          <t>Research Director</t>
        </is>
      </c>
      <c r="D1157" t="inlineStr">
        <is>
          <t>No</t>
        </is>
      </c>
      <c r="E1157" s="8" t="n">
        <v>13757</v>
      </c>
      <c r="F1157" s="8">
        <f>E1157*Assumptions!$B$7</f>
        <v/>
      </c>
      <c r="G1157" s="9" t="n">
        <v>0.0043</v>
      </c>
      <c r="H1157" t="inlineStr">
        <is>
          <t>Low</t>
        </is>
      </c>
      <c r="I1157">
        <f>IF(G1157&gt;=Assumptions!$B$4,"Yes","No")</f>
        <v/>
      </c>
      <c r="J1157" s="8">
        <f>F1157*Assumptions!$B$6</f>
        <v/>
      </c>
      <c r="K1157" s="10">
        <f>G1157*J1157</f>
        <v/>
      </c>
      <c r="L1157" s="10">
        <f>IF(I1157="Yes",G1157*Assumptions!$B$5*J1157,0)</f>
        <v/>
      </c>
    </row>
    <row r="1158">
      <c r="A1158" t="n">
        <v>1250</v>
      </c>
      <c r="B1158" t="inlineStr">
        <is>
          <t>Research &amp; Development</t>
        </is>
      </c>
      <c r="C1158" t="inlineStr">
        <is>
          <t>Research Director</t>
        </is>
      </c>
      <c r="D1158" t="inlineStr">
        <is>
          <t>No</t>
        </is>
      </c>
      <c r="E1158" s="8" t="n">
        <v>17779</v>
      </c>
      <c r="F1158" s="8">
        <f>E1158*Assumptions!$B$7</f>
        <v/>
      </c>
      <c r="G1158" s="9" t="n">
        <v>0.0043</v>
      </c>
      <c r="H1158" t="inlineStr">
        <is>
          <t>Low</t>
        </is>
      </c>
      <c r="I1158">
        <f>IF(G1158&gt;=Assumptions!$B$4,"Yes","No")</f>
        <v/>
      </c>
      <c r="J1158" s="8">
        <f>F1158*Assumptions!$B$6</f>
        <v/>
      </c>
      <c r="K1158" s="10">
        <f>G1158*J1158</f>
        <v/>
      </c>
      <c r="L1158" s="10">
        <f>IF(I1158="Yes",G1158*Assumptions!$B$5*J1158,0)</f>
        <v/>
      </c>
    </row>
    <row r="1159">
      <c r="A1159" t="n">
        <v>464</v>
      </c>
      <c r="B1159" t="inlineStr">
        <is>
          <t>Research &amp; Development</t>
        </is>
      </c>
      <c r="C1159" t="inlineStr">
        <is>
          <t>Manufacturing Director</t>
        </is>
      </c>
      <c r="D1159" t="inlineStr">
        <is>
          <t>No</t>
        </is>
      </c>
      <c r="E1159" s="8" t="n">
        <v>8095</v>
      </c>
      <c r="F1159" s="8">
        <f>E1159*Assumptions!$B$7</f>
        <v/>
      </c>
      <c r="G1159" s="9" t="n">
        <v>0.0042</v>
      </c>
      <c r="H1159" t="inlineStr">
        <is>
          <t>Low</t>
        </is>
      </c>
      <c r="I1159">
        <f>IF(G1159&gt;=Assumptions!$B$4,"Yes","No")</f>
        <v/>
      </c>
      <c r="J1159" s="8">
        <f>F1159*Assumptions!$B$6</f>
        <v/>
      </c>
      <c r="K1159" s="10">
        <f>G1159*J1159</f>
        <v/>
      </c>
      <c r="L1159" s="10">
        <f>IF(I1159="Yes",G1159*Assumptions!$B$5*J1159,0)</f>
        <v/>
      </c>
    </row>
    <row r="1160">
      <c r="A1160" t="n">
        <v>1665</v>
      </c>
      <c r="B1160" t="inlineStr">
        <is>
          <t>Research &amp; Development</t>
        </is>
      </c>
      <c r="C1160" t="inlineStr">
        <is>
          <t>Manager</t>
        </is>
      </c>
      <c r="D1160" t="inlineStr">
        <is>
          <t>No</t>
        </is>
      </c>
      <c r="E1160" s="8" t="n">
        <v>17426</v>
      </c>
      <c r="F1160" s="8">
        <f>E1160*Assumptions!$B$7</f>
        <v/>
      </c>
      <c r="G1160" s="9" t="n">
        <v>0.0042</v>
      </c>
      <c r="H1160" t="inlineStr">
        <is>
          <t>Low</t>
        </is>
      </c>
      <c r="I1160">
        <f>IF(G1160&gt;=Assumptions!$B$4,"Yes","No")</f>
        <v/>
      </c>
      <c r="J1160" s="8">
        <f>F1160*Assumptions!$B$6</f>
        <v/>
      </c>
      <c r="K1160" s="10">
        <f>G1160*J1160</f>
        <v/>
      </c>
      <c r="L1160" s="10">
        <f>IF(I1160="Yes",G1160*Assumptions!$B$5*J1160,0)</f>
        <v/>
      </c>
    </row>
    <row r="1161">
      <c r="A1161" t="n">
        <v>1231</v>
      </c>
      <c r="B1161" t="inlineStr">
        <is>
          <t>Human Resources</t>
        </is>
      </c>
      <c r="C1161" t="inlineStr">
        <is>
          <t>Human Resources</t>
        </is>
      </c>
      <c r="D1161" t="inlineStr">
        <is>
          <t>No</t>
        </is>
      </c>
      <c r="E1161" s="8" t="n">
        <v>6272</v>
      </c>
      <c r="F1161" s="8">
        <f>E1161*Assumptions!$B$7</f>
        <v/>
      </c>
      <c r="G1161" s="9" t="n">
        <v>0.0042</v>
      </c>
      <c r="H1161" t="inlineStr">
        <is>
          <t>Low</t>
        </is>
      </c>
      <c r="I1161">
        <f>IF(G1161&gt;=Assumptions!$B$4,"Yes","No")</f>
        <v/>
      </c>
      <c r="J1161" s="8">
        <f>F1161*Assumptions!$B$6</f>
        <v/>
      </c>
      <c r="K1161" s="10">
        <f>G1161*J1161</f>
        <v/>
      </c>
      <c r="L1161" s="10">
        <f>IF(I1161="Yes",G1161*Assumptions!$B$5*J1161,0)</f>
        <v/>
      </c>
    </row>
    <row r="1162">
      <c r="A1162" t="n">
        <v>1215</v>
      </c>
      <c r="B1162" t="inlineStr">
        <is>
          <t>Research &amp; Development</t>
        </is>
      </c>
      <c r="C1162" t="inlineStr">
        <is>
          <t>Manager</t>
        </is>
      </c>
      <c r="D1162" t="inlineStr">
        <is>
          <t>No</t>
        </is>
      </c>
      <c r="E1162" s="8" t="n">
        <v>17856</v>
      </c>
      <c r="F1162" s="8">
        <f>E1162*Assumptions!$B$7</f>
        <v/>
      </c>
      <c r="G1162" s="9" t="n">
        <v>0.0041</v>
      </c>
      <c r="H1162" t="inlineStr">
        <is>
          <t>Low</t>
        </is>
      </c>
      <c r="I1162">
        <f>IF(G1162&gt;=Assumptions!$B$4,"Yes","No")</f>
        <v/>
      </c>
      <c r="J1162" s="8">
        <f>F1162*Assumptions!$B$6</f>
        <v/>
      </c>
      <c r="K1162" s="10">
        <f>G1162*J1162</f>
        <v/>
      </c>
      <c r="L1162" s="10">
        <f>IF(I1162="Yes",G1162*Assumptions!$B$5*J1162,0)</f>
        <v/>
      </c>
    </row>
    <row r="1163">
      <c r="A1163" t="n">
        <v>1970</v>
      </c>
      <c r="B1163" t="inlineStr">
        <is>
          <t>Research &amp; Development</t>
        </is>
      </c>
      <c r="C1163" t="inlineStr">
        <is>
          <t>Healthcare Representative</t>
        </is>
      </c>
      <c r="D1163" t="inlineStr">
        <is>
          <t>No</t>
        </is>
      </c>
      <c r="E1163" s="8" t="n">
        <v>5968</v>
      </c>
      <c r="F1163" s="8">
        <f>E1163*Assumptions!$B$7</f>
        <v/>
      </c>
      <c r="G1163" s="9" t="n">
        <v>0.0041</v>
      </c>
      <c r="H1163" t="inlineStr">
        <is>
          <t>Low</t>
        </is>
      </c>
      <c r="I1163">
        <f>IF(G1163&gt;=Assumptions!$B$4,"Yes","No")</f>
        <v/>
      </c>
      <c r="J1163" s="8">
        <f>F1163*Assumptions!$B$6</f>
        <v/>
      </c>
      <c r="K1163" s="10">
        <f>G1163*J1163</f>
        <v/>
      </c>
      <c r="L1163" s="10">
        <f>IF(I1163="Yes",G1163*Assumptions!$B$5*J1163,0)</f>
        <v/>
      </c>
    </row>
    <row r="1164">
      <c r="A1164" t="n">
        <v>1940</v>
      </c>
      <c r="B1164" t="inlineStr">
        <is>
          <t>Research &amp; Development</t>
        </is>
      </c>
      <c r="C1164" t="inlineStr">
        <is>
          <t>Research Scientist</t>
        </is>
      </c>
      <c r="D1164" t="inlineStr">
        <is>
          <t>No</t>
        </is>
      </c>
      <c r="E1164" s="8" t="n">
        <v>4771</v>
      </c>
      <c r="F1164" s="8">
        <f>E1164*Assumptions!$B$7</f>
        <v/>
      </c>
      <c r="G1164" s="9" t="n">
        <v>0.0041</v>
      </c>
      <c r="H1164" t="inlineStr">
        <is>
          <t>Low</t>
        </is>
      </c>
      <c r="I1164">
        <f>IF(G1164&gt;=Assumptions!$B$4,"Yes","No")</f>
        <v/>
      </c>
      <c r="J1164" s="8">
        <f>F1164*Assumptions!$B$6</f>
        <v/>
      </c>
      <c r="K1164" s="10">
        <f>G1164*J1164</f>
        <v/>
      </c>
      <c r="L1164" s="10">
        <f>IF(I1164="Yes",G1164*Assumptions!$B$5*J1164,0)</f>
        <v/>
      </c>
    </row>
    <row r="1165">
      <c r="A1165" t="n">
        <v>1618</v>
      </c>
      <c r="B1165" t="inlineStr">
        <is>
          <t>Research &amp; Development</t>
        </is>
      </c>
      <c r="C1165" t="inlineStr">
        <is>
          <t>Manufacturing Director</t>
        </is>
      </c>
      <c r="D1165" t="inlineStr">
        <is>
          <t>No</t>
        </is>
      </c>
      <c r="E1165" s="8" t="n">
        <v>5377</v>
      </c>
      <c r="F1165" s="8">
        <f>E1165*Assumptions!$B$7</f>
        <v/>
      </c>
      <c r="G1165" s="9" t="n">
        <v>0.0041</v>
      </c>
      <c r="H1165" t="inlineStr">
        <is>
          <t>Low</t>
        </is>
      </c>
      <c r="I1165">
        <f>IF(G1165&gt;=Assumptions!$B$4,"Yes","No")</f>
        <v/>
      </c>
      <c r="J1165" s="8">
        <f>F1165*Assumptions!$B$6</f>
        <v/>
      </c>
      <c r="K1165" s="10">
        <f>G1165*J1165</f>
        <v/>
      </c>
      <c r="L1165" s="10">
        <f>IF(I1165="Yes",G1165*Assumptions!$B$5*J1165,0)</f>
        <v/>
      </c>
    </row>
    <row r="1166">
      <c r="A1166" t="n">
        <v>373</v>
      </c>
      <c r="B1166" t="inlineStr">
        <is>
          <t>Research &amp; Development</t>
        </is>
      </c>
      <c r="C1166" t="inlineStr">
        <is>
          <t>Laboratory Technician</t>
        </is>
      </c>
      <c r="D1166" t="inlineStr">
        <is>
          <t>No</t>
        </is>
      </c>
      <c r="E1166" s="8" t="n">
        <v>3210</v>
      </c>
      <c r="F1166" s="8">
        <f>E1166*Assumptions!$B$7</f>
        <v/>
      </c>
      <c r="G1166" s="9" t="n">
        <v>0.004</v>
      </c>
      <c r="H1166" t="inlineStr">
        <is>
          <t>Low</t>
        </is>
      </c>
      <c r="I1166">
        <f>IF(G1166&gt;=Assumptions!$B$4,"Yes","No")</f>
        <v/>
      </c>
      <c r="J1166" s="8">
        <f>F1166*Assumptions!$B$6</f>
        <v/>
      </c>
      <c r="K1166" s="10">
        <f>G1166*J1166</f>
        <v/>
      </c>
      <c r="L1166" s="10">
        <f>IF(I1166="Yes",G1166*Assumptions!$B$5*J1166,0)</f>
        <v/>
      </c>
    </row>
    <row r="1167">
      <c r="A1167" t="n">
        <v>1115</v>
      </c>
      <c r="B1167" t="inlineStr">
        <is>
          <t>Research &amp; Development</t>
        </is>
      </c>
      <c r="C1167" t="inlineStr">
        <is>
          <t>Research Scientist</t>
        </is>
      </c>
      <c r="D1167" t="inlineStr">
        <is>
          <t>No</t>
        </is>
      </c>
      <c r="E1167" s="8" t="n">
        <v>2979</v>
      </c>
      <c r="F1167" s="8">
        <f>E1167*Assumptions!$B$7</f>
        <v/>
      </c>
      <c r="G1167" s="9" t="n">
        <v>0.0039</v>
      </c>
      <c r="H1167" t="inlineStr">
        <is>
          <t>Low</t>
        </is>
      </c>
      <c r="I1167">
        <f>IF(G1167&gt;=Assumptions!$B$4,"Yes","No")</f>
        <v/>
      </c>
      <c r="J1167" s="8">
        <f>F1167*Assumptions!$B$6</f>
        <v/>
      </c>
      <c r="K1167" s="10">
        <f>G1167*J1167</f>
        <v/>
      </c>
      <c r="L1167" s="10">
        <f>IF(I1167="Yes",G1167*Assumptions!$B$5*J1167,0)</f>
        <v/>
      </c>
    </row>
    <row r="1168">
      <c r="A1168" t="n">
        <v>119</v>
      </c>
      <c r="B1168" t="inlineStr">
        <is>
          <t>Research &amp; Development</t>
        </is>
      </c>
      <c r="C1168" t="inlineStr">
        <is>
          <t>Healthcare Representative</t>
        </is>
      </c>
      <c r="D1168" t="inlineStr">
        <is>
          <t>No</t>
        </is>
      </c>
      <c r="E1168" s="8" t="n">
        <v>13503</v>
      </c>
      <c r="F1168" s="8">
        <f>E1168*Assumptions!$B$7</f>
        <v/>
      </c>
      <c r="G1168" s="9" t="n">
        <v>0.0039</v>
      </c>
      <c r="H1168" t="inlineStr">
        <is>
          <t>Low</t>
        </is>
      </c>
      <c r="I1168">
        <f>IF(G1168&gt;=Assumptions!$B$4,"Yes","No")</f>
        <v/>
      </c>
      <c r="J1168" s="8">
        <f>F1168*Assumptions!$B$6</f>
        <v/>
      </c>
      <c r="K1168" s="10">
        <f>G1168*J1168</f>
        <v/>
      </c>
      <c r="L1168" s="10">
        <f>IF(I1168="Yes",G1168*Assumptions!$B$5*J1168,0)</f>
        <v/>
      </c>
    </row>
    <row r="1169">
      <c r="A1169" t="n">
        <v>465</v>
      </c>
      <c r="B1169" t="inlineStr">
        <is>
          <t>Research &amp; Development</t>
        </is>
      </c>
      <c r="C1169" t="inlineStr">
        <is>
          <t>Research Scientist</t>
        </is>
      </c>
      <c r="D1169" t="inlineStr">
        <is>
          <t>No</t>
        </is>
      </c>
      <c r="E1169" s="8" t="n">
        <v>2904</v>
      </c>
      <c r="F1169" s="8">
        <f>E1169*Assumptions!$B$7</f>
        <v/>
      </c>
      <c r="G1169" s="9" t="n">
        <v>0.0039</v>
      </c>
      <c r="H1169" t="inlineStr">
        <is>
          <t>Low</t>
        </is>
      </c>
      <c r="I1169">
        <f>IF(G1169&gt;=Assumptions!$B$4,"Yes","No")</f>
        <v/>
      </c>
      <c r="J1169" s="8">
        <f>F1169*Assumptions!$B$6</f>
        <v/>
      </c>
      <c r="K1169" s="10">
        <f>G1169*J1169</f>
        <v/>
      </c>
      <c r="L1169" s="10">
        <f>IF(I1169="Yes",G1169*Assumptions!$B$5*J1169,0)</f>
        <v/>
      </c>
    </row>
    <row r="1170">
      <c r="A1170" t="n">
        <v>1778</v>
      </c>
      <c r="B1170" t="inlineStr">
        <is>
          <t>Human Resources</t>
        </is>
      </c>
      <c r="C1170" t="inlineStr">
        <is>
          <t>Human Resources</t>
        </is>
      </c>
      <c r="D1170" t="inlineStr">
        <is>
          <t>No</t>
        </is>
      </c>
      <c r="E1170" s="8" t="n">
        <v>3539</v>
      </c>
      <c r="F1170" s="8">
        <f>E1170*Assumptions!$B$7</f>
        <v/>
      </c>
      <c r="G1170" s="9" t="n">
        <v>0.0039</v>
      </c>
      <c r="H1170" t="inlineStr">
        <is>
          <t>Low</t>
        </is>
      </c>
      <c r="I1170">
        <f>IF(G1170&gt;=Assumptions!$B$4,"Yes","No")</f>
        <v/>
      </c>
      <c r="J1170" s="8">
        <f>F1170*Assumptions!$B$6</f>
        <v/>
      </c>
      <c r="K1170" s="10">
        <f>G1170*J1170</f>
        <v/>
      </c>
      <c r="L1170" s="10">
        <f>IF(I1170="Yes",G1170*Assumptions!$B$5*J1170,0)</f>
        <v/>
      </c>
    </row>
    <row r="1171">
      <c r="A1171" t="n">
        <v>1117</v>
      </c>
      <c r="B1171" t="inlineStr">
        <is>
          <t>Sales</t>
        </is>
      </c>
      <c r="C1171" t="inlineStr">
        <is>
          <t>Sales Executive</t>
        </is>
      </c>
      <c r="D1171" t="inlineStr">
        <is>
          <t>No</t>
        </is>
      </c>
      <c r="E1171" s="8" t="n">
        <v>5593</v>
      </c>
      <c r="F1171" s="8">
        <f>E1171*Assumptions!$B$7</f>
        <v/>
      </c>
      <c r="G1171" s="9" t="n">
        <v>0.0039</v>
      </c>
      <c r="H1171" t="inlineStr">
        <is>
          <t>Low</t>
        </is>
      </c>
      <c r="I1171">
        <f>IF(G1171&gt;=Assumptions!$B$4,"Yes","No")</f>
        <v/>
      </c>
      <c r="J1171" s="8">
        <f>F1171*Assumptions!$B$6</f>
        <v/>
      </c>
      <c r="K1171" s="10">
        <f>G1171*J1171</f>
        <v/>
      </c>
      <c r="L1171" s="10">
        <f>IF(I1171="Yes",G1171*Assumptions!$B$5*J1171,0)</f>
        <v/>
      </c>
    </row>
    <row r="1172">
      <c r="A1172" t="n">
        <v>77</v>
      </c>
      <c r="B1172" t="inlineStr">
        <is>
          <t>Research &amp; Development</t>
        </is>
      </c>
      <c r="C1172" t="inlineStr">
        <is>
          <t>Manufacturing Director</t>
        </is>
      </c>
      <c r="D1172" t="inlineStr">
        <is>
          <t>No</t>
        </is>
      </c>
      <c r="E1172" s="8" t="n">
        <v>5993</v>
      </c>
      <c r="F1172" s="8">
        <f>E1172*Assumptions!$B$7</f>
        <v/>
      </c>
      <c r="G1172" s="9" t="n">
        <v>0.0038</v>
      </c>
      <c r="H1172" t="inlineStr">
        <is>
          <t>Low</t>
        </is>
      </c>
      <c r="I1172">
        <f>IF(G1172&gt;=Assumptions!$B$4,"Yes","No")</f>
        <v/>
      </c>
      <c r="J1172" s="8">
        <f>F1172*Assumptions!$B$6</f>
        <v/>
      </c>
      <c r="K1172" s="10">
        <f>G1172*J1172</f>
        <v/>
      </c>
      <c r="L1172" s="10">
        <f>IF(I1172="Yes",G1172*Assumptions!$B$5*J1172,0)</f>
        <v/>
      </c>
    </row>
    <row r="1173">
      <c r="A1173" t="n">
        <v>262</v>
      </c>
      <c r="B1173" t="inlineStr">
        <is>
          <t>Research &amp; Development</t>
        </is>
      </c>
      <c r="C1173" t="inlineStr">
        <is>
          <t>Research Scientist</t>
        </is>
      </c>
      <c r="D1173" t="inlineStr">
        <is>
          <t>No</t>
        </is>
      </c>
      <c r="E1173" s="8" t="n">
        <v>2089</v>
      </c>
      <c r="F1173" s="8">
        <f>E1173*Assumptions!$B$7</f>
        <v/>
      </c>
      <c r="G1173" s="9" t="n">
        <v>0.0038</v>
      </c>
      <c r="H1173" t="inlineStr">
        <is>
          <t>Low</t>
        </is>
      </c>
      <c r="I1173">
        <f>IF(G1173&gt;=Assumptions!$B$4,"Yes","No")</f>
        <v/>
      </c>
      <c r="J1173" s="8">
        <f>F1173*Assumptions!$B$6</f>
        <v/>
      </c>
      <c r="K1173" s="10">
        <f>G1173*J1173</f>
        <v/>
      </c>
      <c r="L1173" s="10">
        <f>IF(I1173="Yes",G1173*Assumptions!$B$5*J1173,0)</f>
        <v/>
      </c>
    </row>
    <row r="1174">
      <c r="A1174" t="n">
        <v>380</v>
      </c>
      <c r="B1174" t="inlineStr">
        <is>
          <t>Research &amp; Development</t>
        </is>
      </c>
      <c r="C1174" t="inlineStr">
        <is>
          <t>Research Director</t>
        </is>
      </c>
      <c r="D1174" t="inlineStr">
        <is>
          <t>Yes</t>
        </is>
      </c>
      <c r="E1174" s="8" t="n">
        <v>13603</v>
      </c>
      <c r="F1174" s="8">
        <f>E1174*Assumptions!$B$7</f>
        <v/>
      </c>
      <c r="G1174" s="9" t="n">
        <v>0.0038</v>
      </c>
      <c r="H1174" t="inlineStr">
        <is>
          <t>Low</t>
        </is>
      </c>
      <c r="I1174">
        <f>IF(G1174&gt;=Assumptions!$B$4,"Yes","No")</f>
        <v/>
      </c>
      <c r="J1174" s="8">
        <f>F1174*Assumptions!$B$6</f>
        <v/>
      </c>
      <c r="K1174" s="10">
        <f>G1174*J1174</f>
        <v/>
      </c>
      <c r="L1174" s="10">
        <f>IF(I1174="Yes",G1174*Assumptions!$B$5*J1174,0)</f>
        <v/>
      </c>
    </row>
    <row r="1175">
      <c r="A1175" t="n">
        <v>1484</v>
      </c>
      <c r="B1175" t="inlineStr">
        <is>
          <t>Research &amp; Development</t>
        </is>
      </c>
      <c r="C1175" t="inlineStr">
        <is>
          <t>Healthcare Representative</t>
        </is>
      </c>
      <c r="D1175" t="inlineStr">
        <is>
          <t>No</t>
        </is>
      </c>
      <c r="E1175" s="8" t="n">
        <v>10466</v>
      </c>
      <c r="F1175" s="8">
        <f>E1175*Assumptions!$B$7</f>
        <v/>
      </c>
      <c r="G1175" s="9" t="n">
        <v>0.0037</v>
      </c>
      <c r="H1175" t="inlineStr">
        <is>
          <t>Low</t>
        </is>
      </c>
      <c r="I1175">
        <f>IF(G1175&gt;=Assumptions!$B$4,"Yes","No")</f>
        <v/>
      </c>
      <c r="J1175" s="8">
        <f>F1175*Assumptions!$B$6</f>
        <v/>
      </c>
      <c r="K1175" s="10">
        <f>G1175*J1175</f>
        <v/>
      </c>
      <c r="L1175" s="10">
        <f>IF(I1175="Yes",G1175*Assumptions!$B$5*J1175,0)</f>
        <v/>
      </c>
    </row>
    <row r="1176">
      <c r="A1176" t="n">
        <v>734</v>
      </c>
      <c r="B1176" t="inlineStr">
        <is>
          <t>Human Resources</t>
        </is>
      </c>
      <c r="C1176" t="inlineStr">
        <is>
          <t>Manager</t>
        </is>
      </c>
      <c r="D1176" t="inlineStr">
        <is>
          <t>No</t>
        </is>
      </c>
      <c r="E1176" s="8" t="n">
        <v>19189</v>
      </c>
      <c r="F1176" s="8">
        <f>E1176*Assumptions!$B$7</f>
        <v/>
      </c>
      <c r="G1176" s="9" t="n">
        <v>0.0037</v>
      </c>
      <c r="H1176" t="inlineStr">
        <is>
          <t>Low</t>
        </is>
      </c>
      <c r="I1176">
        <f>IF(G1176&gt;=Assumptions!$B$4,"Yes","No")</f>
        <v/>
      </c>
      <c r="J1176" s="8">
        <f>F1176*Assumptions!$B$6</f>
        <v/>
      </c>
      <c r="K1176" s="10">
        <f>G1176*J1176</f>
        <v/>
      </c>
      <c r="L1176" s="10">
        <f>IF(I1176="Yes",G1176*Assumptions!$B$5*J1176,0)</f>
        <v/>
      </c>
    </row>
    <row r="1177">
      <c r="A1177" t="n">
        <v>1047</v>
      </c>
      <c r="B1177" t="inlineStr">
        <is>
          <t>Sales</t>
        </is>
      </c>
      <c r="C1177" t="inlineStr">
        <is>
          <t>Sales Executive</t>
        </is>
      </c>
      <c r="D1177" t="inlineStr">
        <is>
          <t>No</t>
        </is>
      </c>
      <c r="E1177" s="8" t="n">
        <v>9725</v>
      </c>
      <c r="F1177" s="8">
        <f>E1177*Assumptions!$B$7</f>
        <v/>
      </c>
      <c r="G1177" s="9" t="n">
        <v>0.0037</v>
      </c>
      <c r="H1177" t="inlineStr">
        <is>
          <t>Low</t>
        </is>
      </c>
      <c r="I1177">
        <f>IF(G1177&gt;=Assumptions!$B$4,"Yes","No")</f>
        <v/>
      </c>
      <c r="J1177" s="8">
        <f>F1177*Assumptions!$B$6</f>
        <v/>
      </c>
      <c r="K1177" s="10">
        <f>G1177*J1177</f>
        <v/>
      </c>
      <c r="L1177" s="10">
        <f>IF(I1177="Yes",G1177*Assumptions!$B$5*J1177,0)</f>
        <v/>
      </c>
    </row>
    <row r="1178">
      <c r="A1178" t="n">
        <v>270</v>
      </c>
      <c r="B1178" t="inlineStr">
        <is>
          <t>Research &amp; Development</t>
        </is>
      </c>
      <c r="C1178" t="inlineStr">
        <is>
          <t>Manufacturing Director</t>
        </is>
      </c>
      <c r="D1178" t="inlineStr">
        <is>
          <t>No</t>
        </is>
      </c>
      <c r="E1178" s="8" t="n">
        <v>5265</v>
      </c>
      <c r="F1178" s="8">
        <f>E1178*Assumptions!$B$7</f>
        <v/>
      </c>
      <c r="G1178" s="9" t="n">
        <v>0.0036</v>
      </c>
      <c r="H1178" t="inlineStr">
        <is>
          <t>Low</t>
        </is>
      </c>
      <c r="I1178">
        <f>IF(G1178&gt;=Assumptions!$B$4,"Yes","No")</f>
        <v/>
      </c>
      <c r="J1178" s="8">
        <f>F1178*Assumptions!$B$6</f>
        <v/>
      </c>
      <c r="K1178" s="10">
        <f>G1178*J1178</f>
        <v/>
      </c>
      <c r="L1178" s="10">
        <f>IF(I1178="Yes",G1178*Assumptions!$B$5*J1178,0)</f>
        <v/>
      </c>
    </row>
    <row r="1179">
      <c r="A1179" t="n">
        <v>1069</v>
      </c>
      <c r="B1179" t="inlineStr">
        <is>
          <t>Research &amp; Development</t>
        </is>
      </c>
      <c r="C1179" t="inlineStr">
        <is>
          <t>Research Director</t>
        </is>
      </c>
      <c r="D1179" t="inlineStr">
        <is>
          <t>No</t>
        </is>
      </c>
      <c r="E1179" s="8" t="n">
        <v>19627</v>
      </c>
      <c r="F1179" s="8">
        <f>E1179*Assumptions!$B$7</f>
        <v/>
      </c>
      <c r="G1179" s="9" t="n">
        <v>0.0035</v>
      </c>
      <c r="H1179" t="inlineStr">
        <is>
          <t>Low</t>
        </is>
      </c>
      <c r="I1179">
        <f>IF(G1179&gt;=Assumptions!$B$4,"Yes","No")</f>
        <v/>
      </c>
      <c r="J1179" s="8">
        <f>F1179*Assumptions!$B$6</f>
        <v/>
      </c>
      <c r="K1179" s="10">
        <f>G1179*J1179</f>
        <v/>
      </c>
      <c r="L1179" s="10">
        <f>IF(I1179="Yes",G1179*Assumptions!$B$5*J1179,0)</f>
        <v/>
      </c>
    </row>
    <row r="1180">
      <c r="A1180" t="n">
        <v>579</v>
      </c>
      <c r="B1180" t="inlineStr">
        <is>
          <t>Research &amp; Development</t>
        </is>
      </c>
      <c r="C1180" t="inlineStr">
        <is>
          <t>Research Scientist</t>
        </is>
      </c>
      <c r="D1180" t="inlineStr">
        <is>
          <t>No</t>
        </is>
      </c>
      <c r="E1180" s="8" t="n">
        <v>2768</v>
      </c>
      <c r="F1180" s="8">
        <f>E1180*Assumptions!$B$7</f>
        <v/>
      </c>
      <c r="G1180" s="9" t="n">
        <v>0.0035</v>
      </c>
      <c r="H1180" t="inlineStr">
        <is>
          <t>Low</t>
        </is>
      </c>
      <c r="I1180">
        <f>IF(G1180&gt;=Assumptions!$B$4,"Yes","No")</f>
        <v/>
      </c>
      <c r="J1180" s="8">
        <f>F1180*Assumptions!$B$6</f>
        <v/>
      </c>
      <c r="K1180" s="10">
        <f>G1180*J1180</f>
        <v/>
      </c>
      <c r="L1180" s="10">
        <f>IF(I1180="Yes",G1180*Assumptions!$B$5*J1180,0)</f>
        <v/>
      </c>
    </row>
    <row r="1181">
      <c r="A1181" t="n">
        <v>1834</v>
      </c>
      <c r="B1181" t="inlineStr">
        <is>
          <t>Research &amp; Development</t>
        </is>
      </c>
      <c r="C1181" t="inlineStr">
        <is>
          <t>Research Scientist</t>
        </is>
      </c>
      <c r="D1181" t="inlineStr">
        <is>
          <t>No</t>
        </is>
      </c>
      <c r="E1181" s="8" t="n">
        <v>3591</v>
      </c>
      <c r="F1181" s="8">
        <f>E1181*Assumptions!$B$7</f>
        <v/>
      </c>
      <c r="G1181" s="9" t="n">
        <v>0.0035</v>
      </c>
      <c r="H1181" t="inlineStr">
        <is>
          <t>Low</t>
        </is>
      </c>
      <c r="I1181">
        <f>IF(G1181&gt;=Assumptions!$B$4,"Yes","No")</f>
        <v/>
      </c>
      <c r="J1181" s="8">
        <f>F1181*Assumptions!$B$6</f>
        <v/>
      </c>
      <c r="K1181" s="10">
        <f>G1181*J1181</f>
        <v/>
      </c>
      <c r="L1181" s="10">
        <f>IF(I1181="Yes",G1181*Assumptions!$B$5*J1181,0)</f>
        <v/>
      </c>
    </row>
    <row r="1182">
      <c r="A1182" t="n">
        <v>1116</v>
      </c>
      <c r="B1182" t="inlineStr">
        <is>
          <t>Research &amp; Development</t>
        </is>
      </c>
      <c r="C1182" t="inlineStr">
        <is>
          <t>Manager</t>
        </is>
      </c>
      <c r="D1182" t="inlineStr">
        <is>
          <t>No</t>
        </is>
      </c>
      <c r="E1182" s="8" t="n">
        <v>16885</v>
      </c>
      <c r="F1182" s="8">
        <f>E1182*Assumptions!$B$7</f>
        <v/>
      </c>
      <c r="G1182" s="9" t="n">
        <v>0.0034</v>
      </c>
      <c r="H1182" t="inlineStr">
        <is>
          <t>Low</t>
        </is>
      </c>
      <c r="I1182">
        <f>IF(G1182&gt;=Assumptions!$B$4,"Yes","No")</f>
        <v/>
      </c>
      <c r="J1182" s="8">
        <f>F1182*Assumptions!$B$6</f>
        <v/>
      </c>
      <c r="K1182" s="10">
        <f>G1182*J1182</f>
        <v/>
      </c>
      <c r="L1182" s="10">
        <f>IF(I1182="Yes",G1182*Assumptions!$B$5*J1182,0)</f>
        <v/>
      </c>
    </row>
    <row r="1183">
      <c r="A1183" t="n">
        <v>638</v>
      </c>
      <c r="B1183" t="inlineStr">
        <is>
          <t>Research &amp; Development</t>
        </is>
      </c>
      <c r="C1183" t="inlineStr">
        <is>
          <t>Research Director</t>
        </is>
      </c>
      <c r="D1183" t="inlineStr">
        <is>
          <t>Yes</t>
        </is>
      </c>
      <c r="E1183" s="8" t="n">
        <v>19502</v>
      </c>
      <c r="F1183" s="8">
        <f>E1183*Assumptions!$B$7</f>
        <v/>
      </c>
      <c r="G1183" s="9" t="n">
        <v>0.0034</v>
      </c>
      <c r="H1183" t="inlineStr">
        <is>
          <t>Low</t>
        </is>
      </c>
      <c r="I1183">
        <f>IF(G1183&gt;=Assumptions!$B$4,"Yes","No")</f>
        <v/>
      </c>
      <c r="J1183" s="8">
        <f>F1183*Assumptions!$B$6</f>
        <v/>
      </c>
      <c r="K1183" s="10">
        <f>G1183*J1183</f>
        <v/>
      </c>
      <c r="L1183" s="10">
        <f>IF(I1183="Yes",G1183*Assumptions!$B$5*J1183,0)</f>
        <v/>
      </c>
    </row>
    <row r="1184">
      <c r="A1184" t="n">
        <v>1344</v>
      </c>
      <c r="B1184" t="inlineStr">
        <is>
          <t>Research &amp; Development</t>
        </is>
      </c>
      <c r="C1184" t="inlineStr">
        <is>
          <t>Healthcare Representative</t>
        </is>
      </c>
      <c r="D1184" t="inlineStr">
        <is>
          <t>No</t>
        </is>
      </c>
      <c r="E1184" s="8" t="n">
        <v>8500</v>
      </c>
      <c r="F1184" s="8">
        <f>E1184*Assumptions!$B$7</f>
        <v/>
      </c>
      <c r="G1184" s="9" t="n">
        <v>0.0031</v>
      </c>
      <c r="H1184" t="inlineStr">
        <is>
          <t>Low</t>
        </is>
      </c>
      <c r="I1184">
        <f>IF(G1184&gt;=Assumptions!$B$4,"Yes","No")</f>
        <v/>
      </c>
      <c r="J1184" s="8">
        <f>F1184*Assumptions!$B$6</f>
        <v/>
      </c>
      <c r="K1184" s="10">
        <f>G1184*J1184</f>
        <v/>
      </c>
      <c r="L1184" s="10">
        <f>IF(I1184="Yes",G1184*Assumptions!$B$5*J1184,0)</f>
        <v/>
      </c>
    </row>
    <row r="1185">
      <c r="A1185" t="n">
        <v>830</v>
      </c>
      <c r="B1185" t="inlineStr">
        <is>
          <t>Research &amp; Development</t>
        </is>
      </c>
      <c r="C1185" t="inlineStr">
        <is>
          <t>Manufacturing Director</t>
        </is>
      </c>
      <c r="D1185" t="inlineStr">
        <is>
          <t>No</t>
        </is>
      </c>
      <c r="E1185" s="8" t="n">
        <v>6162</v>
      </c>
      <c r="F1185" s="8">
        <f>E1185*Assumptions!$B$7</f>
        <v/>
      </c>
      <c r="G1185" s="9" t="n">
        <v>0.0031</v>
      </c>
      <c r="H1185" t="inlineStr">
        <is>
          <t>Low</t>
        </is>
      </c>
      <c r="I1185">
        <f>IF(G1185&gt;=Assumptions!$B$4,"Yes","No")</f>
        <v/>
      </c>
      <c r="J1185" s="8">
        <f>F1185*Assumptions!$B$6</f>
        <v/>
      </c>
      <c r="K1185" s="10">
        <f>G1185*J1185</f>
        <v/>
      </c>
      <c r="L1185" s="10">
        <f>IF(I1185="Yes",G1185*Assumptions!$B$5*J1185,0)</f>
        <v/>
      </c>
    </row>
    <row r="1186">
      <c r="A1186" t="n">
        <v>323</v>
      </c>
      <c r="B1186" t="inlineStr">
        <is>
          <t>Sales</t>
        </is>
      </c>
      <c r="C1186" t="inlineStr">
        <is>
          <t>Manager</t>
        </is>
      </c>
      <c r="D1186" t="inlineStr">
        <is>
          <t>No</t>
        </is>
      </c>
      <c r="E1186" s="8" t="n">
        <v>19517</v>
      </c>
      <c r="F1186" s="8">
        <f>E1186*Assumptions!$B$7</f>
        <v/>
      </c>
      <c r="G1186" s="9" t="n">
        <v>0.0031</v>
      </c>
      <c r="H1186" t="inlineStr">
        <is>
          <t>Low</t>
        </is>
      </c>
      <c r="I1186">
        <f>IF(G1186&gt;=Assumptions!$B$4,"Yes","No")</f>
        <v/>
      </c>
      <c r="J1186" s="8">
        <f>F1186*Assumptions!$B$6</f>
        <v/>
      </c>
      <c r="K1186" s="10">
        <f>G1186*J1186</f>
        <v/>
      </c>
      <c r="L1186" s="10">
        <f>IF(I1186="Yes",G1186*Assumptions!$B$5*J1186,0)</f>
        <v/>
      </c>
    </row>
    <row r="1187">
      <c r="A1187" t="n">
        <v>659</v>
      </c>
      <c r="B1187" t="inlineStr">
        <is>
          <t>Research &amp; Development</t>
        </is>
      </c>
      <c r="C1187" t="inlineStr">
        <is>
          <t>Healthcare Representative</t>
        </is>
      </c>
      <c r="D1187" t="inlineStr">
        <is>
          <t>No</t>
        </is>
      </c>
      <c r="E1187" s="8" t="n">
        <v>4089</v>
      </c>
      <c r="F1187" s="8">
        <f>E1187*Assumptions!$B$7</f>
        <v/>
      </c>
      <c r="G1187" s="9" t="n">
        <v>0.003</v>
      </c>
      <c r="H1187" t="inlineStr">
        <is>
          <t>Low</t>
        </is>
      </c>
      <c r="I1187">
        <f>IF(G1187&gt;=Assumptions!$B$4,"Yes","No")</f>
        <v/>
      </c>
      <c r="J1187" s="8">
        <f>F1187*Assumptions!$B$6</f>
        <v/>
      </c>
      <c r="K1187" s="10">
        <f>G1187*J1187</f>
        <v/>
      </c>
      <c r="L1187" s="10">
        <f>IF(I1187="Yes",G1187*Assumptions!$B$5*J1187,0)</f>
        <v/>
      </c>
    </row>
    <row r="1188">
      <c r="A1188" t="n">
        <v>308</v>
      </c>
      <c r="B1188" t="inlineStr">
        <is>
          <t>Research &amp; Development</t>
        </is>
      </c>
      <c r="C1188" t="inlineStr">
        <is>
          <t>Manufacturing Director</t>
        </is>
      </c>
      <c r="D1188" t="inlineStr">
        <is>
          <t>No</t>
        </is>
      </c>
      <c r="E1188" s="8" t="n">
        <v>4345</v>
      </c>
      <c r="F1188" s="8">
        <f>E1188*Assumptions!$B$7</f>
        <v/>
      </c>
      <c r="G1188" s="9" t="n">
        <v>0.003</v>
      </c>
      <c r="H1188" t="inlineStr">
        <is>
          <t>Low</t>
        </is>
      </c>
      <c r="I1188">
        <f>IF(G1188&gt;=Assumptions!$B$4,"Yes","No")</f>
        <v/>
      </c>
      <c r="J1188" s="8">
        <f>F1188*Assumptions!$B$6</f>
        <v/>
      </c>
      <c r="K1188" s="10">
        <f>G1188*J1188</f>
        <v/>
      </c>
      <c r="L1188" s="10">
        <f>IF(I1188="Yes",G1188*Assumptions!$B$5*J1188,0)</f>
        <v/>
      </c>
    </row>
    <row r="1189">
      <c r="A1189" t="n">
        <v>882</v>
      </c>
      <c r="B1189" t="inlineStr">
        <is>
          <t>Research &amp; Development</t>
        </is>
      </c>
      <c r="C1189" t="inlineStr">
        <is>
          <t>Laboratory Technician</t>
        </is>
      </c>
      <c r="D1189" t="inlineStr">
        <is>
          <t>No</t>
        </is>
      </c>
      <c r="E1189" s="8" t="n">
        <v>2314</v>
      </c>
      <c r="F1189" s="8">
        <f>E1189*Assumptions!$B$7</f>
        <v/>
      </c>
      <c r="G1189" s="9" t="n">
        <v>0.003</v>
      </c>
      <c r="H1189" t="inlineStr">
        <is>
          <t>Low</t>
        </is>
      </c>
      <c r="I1189">
        <f>IF(G1189&gt;=Assumptions!$B$4,"Yes","No")</f>
        <v/>
      </c>
      <c r="J1189" s="8">
        <f>F1189*Assumptions!$B$6</f>
        <v/>
      </c>
      <c r="K1189" s="10">
        <f>G1189*J1189</f>
        <v/>
      </c>
      <c r="L1189" s="10">
        <f>IF(I1189="Yes",G1189*Assumptions!$B$5*J1189,0)</f>
        <v/>
      </c>
    </row>
    <row r="1190">
      <c r="A1190" t="n">
        <v>1375</v>
      </c>
      <c r="B1190" t="inlineStr">
        <is>
          <t>Research &amp; Development</t>
        </is>
      </c>
      <c r="C1190" t="inlineStr">
        <is>
          <t>Healthcare Representative</t>
        </is>
      </c>
      <c r="D1190" t="inlineStr">
        <is>
          <t>No</t>
        </is>
      </c>
      <c r="E1190" s="8" t="n">
        <v>6377</v>
      </c>
      <c r="F1190" s="8">
        <f>E1190*Assumptions!$B$7</f>
        <v/>
      </c>
      <c r="G1190" s="9" t="n">
        <v>0.0029</v>
      </c>
      <c r="H1190" t="inlineStr">
        <is>
          <t>Low</t>
        </is>
      </c>
      <c r="I1190">
        <f>IF(G1190&gt;=Assumptions!$B$4,"Yes","No")</f>
        <v/>
      </c>
      <c r="J1190" s="8">
        <f>F1190*Assumptions!$B$6</f>
        <v/>
      </c>
      <c r="K1190" s="10">
        <f>G1190*J1190</f>
        <v/>
      </c>
      <c r="L1190" s="10">
        <f>IF(I1190="Yes",G1190*Assumptions!$B$5*J1190,0)</f>
        <v/>
      </c>
    </row>
    <row r="1191">
      <c r="A1191" t="n">
        <v>976</v>
      </c>
      <c r="B1191" t="inlineStr">
        <is>
          <t>Research &amp; Development</t>
        </is>
      </c>
      <c r="C1191" t="inlineStr">
        <is>
          <t>Manager</t>
        </is>
      </c>
      <c r="D1191" t="inlineStr">
        <is>
          <t>No</t>
        </is>
      </c>
      <c r="E1191" s="8" t="n">
        <v>17099</v>
      </c>
      <c r="F1191" s="8">
        <f>E1191*Assumptions!$B$7</f>
        <v/>
      </c>
      <c r="G1191" s="9" t="n">
        <v>0.0029</v>
      </c>
      <c r="H1191" t="inlineStr">
        <is>
          <t>Low</t>
        </is>
      </c>
      <c r="I1191">
        <f>IF(G1191&gt;=Assumptions!$B$4,"Yes","No")</f>
        <v/>
      </c>
      <c r="J1191" s="8">
        <f>F1191*Assumptions!$B$6</f>
        <v/>
      </c>
      <c r="K1191" s="10">
        <f>G1191*J1191</f>
        <v/>
      </c>
      <c r="L1191" s="10">
        <f>IF(I1191="Yes",G1191*Assumptions!$B$5*J1191,0)</f>
        <v/>
      </c>
    </row>
    <row r="1192">
      <c r="A1192" t="n">
        <v>612</v>
      </c>
      <c r="B1192" t="inlineStr">
        <is>
          <t>Research &amp; Development</t>
        </is>
      </c>
      <c r="C1192" t="inlineStr">
        <is>
          <t>Research Director</t>
        </is>
      </c>
      <c r="D1192" t="inlineStr">
        <is>
          <t>No</t>
        </is>
      </c>
      <c r="E1192" s="8" t="n">
        <v>16184</v>
      </c>
      <c r="F1192" s="8">
        <f>E1192*Assumptions!$B$7</f>
        <v/>
      </c>
      <c r="G1192" s="9" t="n">
        <v>0.0028</v>
      </c>
      <c r="H1192" t="inlineStr">
        <is>
          <t>Low</t>
        </is>
      </c>
      <c r="I1192">
        <f>IF(G1192&gt;=Assumptions!$B$4,"Yes","No")</f>
        <v/>
      </c>
      <c r="J1192" s="8">
        <f>F1192*Assumptions!$B$6</f>
        <v/>
      </c>
      <c r="K1192" s="10">
        <f>G1192*J1192</f>
        <v/>
      </c>
      <c r="L1192" s="10">
        <f>IF(I1192="Yes",G1192*Assumptions!$B$5*J1192,0)</f>
        <v/>
      </c>
    </row>
    <row r="1193">
      <c r="A1193" t="n">
        <v>1574</v>
      </c>
      <c r="B1193" t="inlineStr">
        <is>
          <t>Research &amp; Development</t>
        </is>
      </c>
      <c r="C1193" t="inlineStr">
        <is>
          <t>Research Scientist</t>
        </is>
      </c>
      <c r="D1193" t="inlineStr">
        <is>
          <t>No</t>
        </is>
      </c>
      <c r="E1193" s="8" t="n">
        <v>4087</v>
      </c>
      <c r="F1193" s="8">
        <f>E1193*Assumptions!$B$7</f>
        <v/>
      </c>
      <c r="G1193" s="9" t="n">
        <v>0.0028</v>
      </c>
      <c r="H1193" t="inlineStr">
        <is>
          <t>Low</t>
        </is>
      </c>
      <c r="I1193">
        <f>IF(G1193&gt;=Assumptions!$B$4,"Yes","No")</f>
        <v/>
      </c>
      <c r="J1193" s="8">
        <f>F1193*Assumptions!$B$6</f>
        <v/>
      </c>
      <c r="K1193" s="10">
        <f>G1193*J1193</f>
        <v/>
      </c>
      <c r="L1193" s="10">
        <f>IF(I1193="Yes",G1193*Assumptions!$B$5*J1193,0)</f>
        <v/>
      </c>
    </row>
    <row r="1194">
      <c r="A1194" t="n">
        <v>1263</v>
      </c>
      <c r="B1194" t="inlineStr">
        <is>
          <t>Research &amp; Development</t>
        </is>
      </c>
      <c r="C1194" t="inlineStr">
        <is>
          <t>Research Director</t>
        </is>
      </c>
      <c r="D1194" t="inlineStr">
        <is>
          <t>No</t>
        </is>
      </c>
      <c r="E1194" s="8" t="n">
        <v>18265</v>
      </c>
      <c r="F1194" s="8">
        <f>E1194*Assumptions!$B$7</f>
        <v/>
      </c>
      <c r="G1194" s="9" t="n">
        <v>0.0027</v>
      </c>
      <c r="H1194" t="inlineStr">
        <is>
          <t>Low</t>
        </is>
      </c>
      <c r="I1194">
        <f>IF(G1194&gt;=Assumptions!$B$4,"Yes","No")</f>
        <v/>
      </c>
      <c r="J1194" s="8">
        <f>F1194*Assumptions!$B$6</f>
        <v/>
      </c>
      <c r="K1194" s="10">
        <f>G1194*J1194</f>
        <v/>
      </c>
      <c r="L1194" s="10">
        <f>IF(I1194="Yes",G1194*Assumptions!$B$5*J1194,0)</f>
        <v/>
      </c>
    </row>
    <row r="1195">
      <c r="A1195" t="n">
        <v>1671</v>
      </c>
      <c r="B1195" t="inlineStr">
        <is>
          <t>Research &amp; Development</t>
        </is>
      </c>
      <c r="C1195" t="inlineStr">
        <is>
          <t>Research Scientist</t>
        </is>
      </c>
      <c r="D1195" t="inlineStr">
        <is>
          <t>No</t>
        </is>
      </c>
      <c r="E1195" s="8" t="n">
        <v>5470</v>
      </c>
      <c r="F1195" s="8">
        <f>E1195*Assumptions!$B$7</f>
        <v/>
      </c>
      <c r="G1195" s="9" t="n">
        <v>0.0027</v>
      </c>
      <c r="H1195" t="inlineStr">
        <is>
          <t>Low</t>
        </is>
      </c>
      <c r="I1195">
        <f>IF(G1195&gt;=Assumptions!$B$4,"Yes","No")</f>
        <v/>
      </c>
      <c r="J1195" s="8">
        <f>F1195*Assumptions!$B$6</f>
        <v/>
      </c>
      <c r="K1195" s="10">
        <f>G1195*J1195</f>
        <v/>
      </c>
      <c r="L1195" s="10">
        <f>IF(I1195="Yes",G1195*Assumptions!$B$5*J1195,0)</f>
        <v/>
      </c>
    </row>
    <row r="1196">
      <c r="A1196" t="n">
        <v>1668</v>
      </c>
      <c r="B1196" t="inlineStr">
        <is>
          <t>Research &amp; Development</t>
        </is>
      </c>
      <c r="C1196" t="inlineStr">
        <is>
          <t>Research Scientist</t>
        </is>
      </c>
      <c r="D1196" t="inlineStr">
        <is>
          <t>No</t>
        </is>
      </c>
      <c r="E1196" s="8" t="n">
        <v>4735</v>
      </c>
      <c r="F1196" s="8">
        <f>E1196*Assumptions!$B$7</f>
        <v/>
      </c>
      <c r="G1196" s="9" t="n">
        <v>0.0027</v>
      </c>
      <c r="H1196" t="inlineStr">
        <is>
          <t>Low</t>
        </is>
      </c>
      <c r="I1196">
        <f>IF(G1196&gt;=Assumptions!$B$4,"Yes","No")</f>
        <v/>
      </c>
      <c r="J1196" s="8">
        <f>F1196*Assumptions!$B$6</f>
        <v/>
      </c>
      <c r="K1196" s="10">
        <f>G1196*J1196</f>
        <v/>
      </c>
      <c r="L1196" s="10">
        <f>IF(I1196="Yes",G1196*Assumptions!$B$5*J1196,0)</f>
        <v/>
      </c>
    </row>
    <row r="1197">
      <c r="A1197" t="n">
        <v>1246</v>
      </c>
      <c r="B1197" t="inlineStr">
        <is>
          <t>Research &amp; Development</t>
        </is>
      </c>
      <c r="C1197" t="inlineStr">
        <is>
          <t>Research Scientist</t>
        </is>
      </c>
      <c r="D1197" t="inlineStr">
        <is>
          <t>No</t>
        </is>
      </c>
      <c r="E1197" s="8" t="n">
        <v>2011</v>
      </c>
      <c r="F1197" s="8">
        <f>E1197*Assumptions!$B$7</f>
        <v/>
      </c>
      <c r="G1197" s="9" t="n">
        <v>0.0027</v>
      </c>
      <c r="H1197" t="inlineStr">
        <is>
          <t>Low</t>
        </is>
      </c>
      <c r="I1197">
        <f>IF(G1197&gt;=Assumptions!$B$4,"Yes","No")</f>
        <v/>
      </c>
      <c r="J1197" s="8">
        <f>F1197*Assumptions!$B$6</f>
        <v/>
      </c>
      <c r="K1197" s="10">
        <f>G1197*J1197</f>
        <v/>
      </c>
      <c r="L1197" s="10">
        <f>IF(I1197="Yes",G1197*Assumptions!$B$5*J1197,0)</f>
        <v/>
      </c>
    </row>
    <row r="1198">
      <c r="A1198" t="n">
        <v>391</v>
      </c>
      <c r="B1198" t="inlineStr">
        <is>
          <t>Research &amp; Development</t>
        </is>
      </c>
      <c r="C1198" t="inlineStr">
        <is>
          <t>Research Scientist</t>
        </is>
      </c>
      <c r="D1198" t="inlineStr">
        <is>
          <t>No</t>
        </is>
      </c>
      <c r="E1198" s="8" t="n">
        <v>2115</v>
      </c>
      <c r="F1198" s="8">
        <f>E1198*Assumptions!$B$7</f>
        <v/>
      </c>
      <c r="G1198" s="9" t="n">
        <v>0.0026</v>
      </c>
      <c r="H1198" t="inlineStr">
        <is>
          <t>Low</t>
        </is>
      </c>
      <c r="I1198">
        <f>IF(G1198&gt;=Assumptions!$B$4,"Yes","No")</f>
        <v/>
      </c>
      <c r="J1198" s="8">
        <f>F1198*Assumptions!$B$6</f>
        <v/>
      </c>
      <c r="K1198" s="10">
        <f>G1198*J1198</f>
        <v/>
      </c>
      <c r="L1198" s="10">
        <f>IF(I1198="Yes",G1198*Assumptions!$B$5*J1198,0)</f>
        <v/>
      </c>
    </row>
    <row r="1199">
      <c r="A1199" t="n">
        <v>482</v>
      </c>
      <c r="B1199" t="inlineStr">
        <is>
          <t>Research &amp; Development</t>
        </is>
      </c>
      <c r="C1199" t="inlineStr">
        <is>
          <t>Healthcare Representative</t>
        </is>
      </c>
      <c r="D1199" t="inlineStr">
        <is>
          <t>No</t>
        </is>
      </c>
      <c r="E1199" s="8" t="n">
        <v>6755</v>
      </c>
      <c r="F1199" s="8">
        <f>E1199*Assumptions!$B$7</f>
        <v/>
      </c>
      <c r="G1199" s="9" t="n">
        <v>0.0026</v>
      </c>
      <c r="H1199" t="inlineStr">
        <is>
          <t>Low</t>
        </is>
      </c>
      <c r="I1199">
        <f>IF(G1199&gt;=Assumptions!$B$4,"Yes","No")</f>
        <v/>
      </c>
      <c r="J1199" s="8">
        <f>F1199*Assumptions!$B$6</f>
        <v/>
      </c>
      <c r="K1199" s="10">
        <f>G1199*J1199</f>
        <v/>
      </c>
      <c r="L1199" s="10">
        <f>IF(I1199="Yes",G1199*Assumptions!$B$5*J1199,0)</f>
        <v/>
      </c>
    </row>
    <row r="1200">
      <c r="A1200" t="n">
        <v>1658</v>
      </c>
      <c r="B1200" t="inlineStr">
        <is>
          <t>Research &amp; Development</t>
        </is>
      </c>
      <c r="C1200" t="inlineStr">
        <is>
          <t>Research Scientist</t>
        </is>
      </c>
      <c r="D1200" t="inlineStr">
        <is>
          <t>No</t>
        </is>
      </c>
      <c r="E1200" s="8" t="n">
        <v>5433</v>
      </c>
      <c r="F1200" s="8">
        <f>E1200*Assumptions!$B$7</f>
        <v/>
      </c>
      <c r="G1200" s="9" t="n">
        <v>0.0026</v>
      </c>
      <c r="H1200" t="inlineStr">
        <is>
          <t>Low</t>
        </is>
      </c>
      <c r="I1200">
        <f>IF(G1200&gt;=Assumptions!$B$4,"Yes","No")</f>
        <v/>
      </c>
      <c r="J1200" s="8">
        <f>F1200*Assumptions!$B$6</f>
        <v/>
      </c>
      <c r="K1200" s="10">
        <f>G1200*J1200</f>
        <v/>
      </c>
      <c r="L1200" s="10">
        <f>IF(I1200="Yes",G1200*Assumptions!$B$5*J1200,0)</f>
        <v/>
      </c>
    </row>
    <row r="1201">
      <c r="A1201" t="n">
        <v>1196</v>
      </c>
      <c r="B1201" t="inlineStr">
        <is>
          <t>Research &amp; Development</t>
        </is>
      </c>
      <c r="C1201" t="inlineStr">
        <is>
          <t>Manufacturing Director</t>
        </is>
      </c>
      <c r="D1201" t="inlineStr">
        <is>
          <t>No</t>
        </is>
      </c>
      <c r="E1201" s="8" t="n">
        <v>6474</v>
      </c>
      <c r="F1201" s="8">
        <f>E1201*Assumptions!$B$7</f>
        <v/>
      </c>
      <c r="G1201" s="9" t="n">
        <v>0.0026</v>
      </c>
      <c r="H1201" t="inlineStr">
        <is>
          <t>Low</t>
        </is>
      </c>
      <c r="I1201">
        <f>IF(G1201&gt;=Assumptions!$B$4,"Yes","No")</f>
        <v/>
      </c>
      <c r="J1201" s="8">
        <f>F1201*Assumptions!$B$6</f>
        <v/>
      </c>
      <c r="K1201" s="10">
        <f>G1201*J1201</f>
        <v/>
      </c>
      <c r="L1201" s="10">
        <f>IF(I1201="Yes",G1201*Assumptions!$B$5*J1201,0)</f>
        <v/>
      </c>
    </row>
    <row r="1202">
      <c r="A1202" t="n">
        <v>1520</v>
      </c>
      <c r="B1202" t="inlineStr">
        <is>
          <t>Research &amp; Development</t>
        </is>
      </c>
      <c r="C1202" t="inlineStr">
        <is>
          <t>Manager</t>
        </is>
      </c>
      <c r="D1202" t="inlineStr">
        <is>
          <t>No</t>
        </is>
      </c>
      <c r="E1202" s="8" t="n">
        <v>16032</v>
      </c>
      <c r="F1202" s="8">
        <f>E1202*Assumptions!$B$7</f>
        <v/>
      </c>
      <c r="G1202" s="9" t="n">
        <v>0.0026</v>
      </c>
      <c r="H1202" t="inlineStr">
        <is>
          <t>Low</t>
        </is>
      </c>
      <c r="I1202">
        <f>IF(G1202&gt;=Assumptions!$B$4,"Yes","No")</f>
        <v/>
      </c>
      <c r="J1202" s="8">
        <f>F1202*Assumptions!$B$6</f>
        <v/>
      </c>
      <c r="K1202" s="10">
        <f>G1202*J1202</f>
        <v/>
      </c>
      <c r="L1202" s="10">
        <f>IF(I1202="Yes",G1202*Assumptions!$B$5*J1202,0)</f>
        <v/>
      </c>
    </row>
    <row r="1203">
      <c r="A1203" t="n">
        <v>2051</v>
      </c>
      <c r="B1203" t="inlineStr">
        <is>
          <t>Research &amp; Development</t>
        </is>
      </c>
      <c r="C1203" t="inlineStr">
        <is>
          <t>Research Scientist</t>
        </is>
      </c>
      <c r="D1203" t="inlineStr">
        <is>
          <t>No</t>
        </is>
      </c>
      <c r="E1203" s="8" t="n">
        <v>2001</v>
      </c>
      <c r="F1203" s="8">
        <f>E1203*Assumptions!$B$7</f>
        <v/>
      </c>
      <c r="G1203" s="9" t="n">
        <v>0.0025</v>
      </c>
      <c r="H1203" t="inlineStr">
        <is>
          <t>Low</t>
        </is>
      </c>
      <c r="I1203">
        <f>IF(G1203&gt;=Assumptions!$B$4,"Yes","No")</f>
        <v/>
      </c>
      <c r="J1203" s="8">
        <f>F1203*Assumptions!$B$6</f>
        <v/>
      </c>
      <c r="K1203" s="10">
        <f>G1203*J1203</f>
        <v/>
      </c>
      <c r="L1203" s="10">
        <f>IF(I1203="Yes",G1203*Assumptions!$B$5*J1203,0)</f>
        <v/>
      </c>
    </row>
    <row r="1204">
      <c r="A1204" t="n">
        <v>1397</v>
      </c>
      <c r="B1204" t="inlineStr">
        <is>
          <t>Research &amp; Development</t>
        </is>
      </c>
      <c r="C1204" t="inlineStr">
        <is>
          <t>Healthcare Representative</t>
        </is>
      </c>
      <c r="D1204" t="inlineStr">
        <is>
          <t>No</t>
        </is>
      </c>
      <c r="E1204" s="8" t="n">
        <v>10920</v>
      </c>
      <c r="F1204" s="8">
        <f>E1204*Assumptions!$B$7</f>
        <v/>
      </c>
      <c r="G1204" s="9" t="n">
        <v>0.0024</v>
      </c>
      <c r="H1204" t="inlineStr">
        <is>
          <t>Low</t>
        </is>
      </c>
      <c r="I1204">
        <f>IF(G1204&gt;=Assumptions!$B$4,"Yes","No")</f>
        <v/>
      </c>
      <c r="J1204" s="8">
        <f>F1204*Assumptions!$B$6</f>
        <v/>
      </c>
      <c r="K1204" s="10">
        <f>G1204*J1204</f>
        <v/>
      </c>
      <c r="L1204" s="10">
        <f>IF(I1204="Yes",G1204*Assumptions!$B$5*J1204,0)</f>
        <v/>
      </c>
    </row>
    <row r="1205">
      <c r="A1205" t="n">
        <v>1423</v>
      </c>
      <c r="B1205" t="inlineStr">
        <is>
          <t>Research &amp; Development</t>
        </is>
      </c>
      <c r="C1205" t="inlineStr">
        <is>
          <t>Research Director</t>
        </is>
      </c>
      <c r="D1205" t="inlineStr">
        <is>
          <t>Yes</t>
        </is>
      </c>
      <c r="E1205" s="8" t="n">
        <v>19701</v>
      </c>
      <c r="F1205" s="8">
        <f>E1205*Assumptions!$B$7</f>
        <v/>
      </c>
      <c r="G1205" s="9" t="n">
        <v>0.0024</v>
      </c>
      <c r="H1205" t="inlineStr">
        <is>
          <t>Low</t>
        </is>
      </c>
      <c r="I1205">
        <f>IF(G1205&gt;=Assumptions!$B$4,"Yes","No")</f>
        <v/>
      </c>
      <c r="J1205" s="8">
        <f>F1205*Assumptions!$B$6</f>
        <v/>
      </c>
      <c r="K1205" s="10">
        <f>G1205*J1205</f>
        <v/>
      </c>
      <c r="L1205" s="10">
        <f>IF(I1205="Yes",G1205*Assumptions!$B$5*J1205,0)</f>
        <v/>
      </c>
    </row>
    <row r="1206">
      <c r="A1206" t="n">
        <v>730</v>
      </c>
      <c r="B1206" t="inlineStr">
        <is>
          <t>Research &amp; Development</t>
        </is>
      </c>
      <c r="C1206" t="inlineStr">
        <is>
          <t>Research Director</t>
        </is>
      </c>
      <c r="D1206" t="inlineStr">
        <is>
          <t>No</t>
        </is>
      </c>
      <c r="E1206" s="8" t="n">
        <v>14814</v>
      </c>
      <c r="F1206" s="8">
        <f>E1206*Assumptions!$B$7</f>
        <v/>
      </c>
      <c r="G1206" s="9" t="n">
        <v>0.0023</v>
      </c>
      <c r="H1206" t="inlineStr">
        <is>
          <t>Low</t>
        </is>
      </c>
      <c r="I1206">
        <f>IF(G1206&gt;=Assumptions!$B$4,"Yes","No")</f>
        <v/>
      </c>
      <c r="J1206" s="8">
        <f>F1206*Assumptions!$B$6</f>
        <v/>
      </c>
      <c r="K1206" s="10">
        <f>G1206*J1206</f>
        <v/>
      </c>
      <c r="L1206" s="10">
        <f>IF(I1206="Yes",G1206*Assumptions!$B$5*J1206,0)</f>
        <v/>
      </c>
    </row>
    <row r="1207">
      <c r="A1207" t="n">
        <v>1644</v>
      </c>
      <c r="B1207" t="inlineStr">
        <is>
          <t>Research &amp; Development</t>
        </is>
      </c>
      <c r="C1207" t="inlineStr">
        <is>
          <t>Manager</t>
        </is>
      </c>
      <c r="D1207" t="inlineStr">
        <is>
          <t>No</t>
        </is>
      </c>
      <c r="E1207" s="8" t="n">
        <v>15202</v>
      </c>
      <c r="F1207" s="8">
        <f>E1207*Assumptions!$B$7</f>
        <v/>
      </c>
      <c r="G1207" s="9" t="n">
        <v>0.0022</v>
      </c>
      <c r="H1207" t="inlineStr">
        <is>
          <t>Low</t>
        </is>
      </c>
      <c r="I1207">
        <f>IF(G1207&gt;=Assumptions!$B$4,"Yes","No")</f>
        <v/>
      </c>
      <c r="J1207" s="8">
        <f>F1207*Assumptions!$B$6</f>
        <v/>
      </c>
      <c r="K1207" s="10">
        <f>G1207*J1207</f>
        <v/>
      </c>
      <c r="L1207" s="10">
        <f>IF(I1207="Yes",G1207*Assumptions!$B$5*J1207,0)</f>
        <v/>
      </c>
    </row>
    <row r="1208">
      <c r="A1208" t="n">
        <v>1045</v>
      </c>
      <c r="B1208" t="inlineStr">
        <is>
          <t>Sales</t>
        </is>
      </c>
      <c r="C1208" t="inlineStr">
        <is>
          <t>Manager</t>
        </is>
      </c>
      <c r="D1208" t="inlineStr">
        <is>
          <t>No</t>
        </is>
      </c>
      <c r="E1208" s="8" t="n">
        <v>17650</v>
      </c>
      <c r="F1208" s="8">
        <f>E1208*Assumptions!$B$7</f>
        <v/>
      </c>
      <c r="G1208" s="9" t="n">
        <v>0.0021</v>
      </c>
      <c r="H1208" t="inlineStr">
        <is>
          <t>Low</t>
        </is>
      </c>
      <c r="I1208">
        <f>IF(G1208&gt;=Assumptions!$B$4,"Yes","No")</f>
        <v/>
      </c>
      <c r="J1208" s="8">
        <f>F1208*Assumptions!$B$6</f>
        <v/>
      </c>
      <c r="K1208" s="10">
        <f>G1208*J1208</f>
        <v/>
      </c>
      <c r="L1208" s="10">
        <f>IF(I1208="Yes",G1208*Assumptions!$B$5*J1208,0)</f>
        <v/>
      </c>
    </row>
    <row r="1209">
      <c r="A1209" t="n">
        <v>1662</v>
      </c>
      <c r="B1209" t="inlineStr">
        <is>
          <t>Research &amp; Development</t>
        </is>
      </c>
      <c r="C1209" t="inlineStr">
        <is>
          <t>Manufacturing Director</t>
        </is>
      </c>
      <c r="D1209" t="inlineStr">
        <is>
          <t>No</t>
        </is>
      </c>
      <c r="E1209" s="8" t="n">
        <v>4374</v>
      </c>
      <c r="F1209" s="8">
        <f>E1209*Assumptions!$B$7</f>
        <v/>
      </c>
      <c r="G1209" s="9" t="n">
        <v>0.0021</v>
      </c>
      <c r="H1209" t="inlineStr">
        <is>
          <t>Low</t>
        </is>
      </c>
      <c r="I1209">
        <f>IF(G1209&gt;=Assumptions!$B$4,"Yes","No")</f>
        <v/>
      </c>
      <c r="J1209" s="8">
        <f>F1209*Assumptions!$B$6</f>
        <v/>
      </c>
      <c r="K1209" s="10">
        <f>G1209*J1209</f>
        <v/>
      </c>
      <c r="L1209" s="10">
        <f>IF(I1209="Yes",G1209*Assumptions!$B$5*J1209,0)</f>
        <v/>
      </c>
    </row>
    <row r="1210">
      <c r="A1210" t="n">
        <v>1697</v>
      </c>
      <c r="B1210" t="inlineStr">
        <is>
          <t>Research &amp; Development</t>
        </is>
      </c>
      <c r="C1210" t="inlineStr">
        <is>
          <t>Healthcare Representative</t>
        </is>
      </c>
      <c r="D1210" t="inlineStr">
        <is>
          <t>No</t>
        </is>
      </c>
      <c r="E1210" s="8" t="n">
        <v>10883</v>
      </c>
      <c r="F1210" s="8">
        <f>E1210*Assumptions!$B$7</f>
        <v/>
      </c>
      <c r="G1210" s="9" t="n">
        <v>0.002</v>
      </c>
      <c r="H1210" t="inlineStr">
        <is>
          <t>Low</t>
        </is>
      </c>
      <c r="I1210">
        <f>IF(G1210&gt;=Assumptions!$B$4,"Yes","No")</f>
        <v/>
      </c>
      <c r="J1210" s="8">
        <f>F1210*Assumptions!$B$6</f>
        <v/>
      </c>
      <c r="K1210" s="10">
        <f>G1210*J1210</f>
        <v/>
      </c>
      <c r="L1210" s="10">
        <f>IF(I1210="Yes",G1210*Assumptions!$B$5*J1210,0)</f>
        <v/>
      </c>
    </row>
    <row r="1211">
      <c r="A1211" t="n">
        <v>1255</v>
      </c>
      <c r="B1211" t="inlineStr">
        <is>
          <t>Research &amp; Development</t>
        </is>
      </c>
      <c r="C1211" t="inlineStr">
        <is>
          <t>Research Director</t>
        </is>
      </c>
      <c r="D1211" t="inlineStr">
        <is>
          <t>No</t>
        </is>
      </c>
      <c r="E1211" s="8" t="n">
        <v>19740</v>
      </c>
      <c r="F1211" s="8">
        <f>E1211*Assumptions!$B$7</f>
        <v/>
      </c>
      <c r="G1211" s="9" t="n">
        <v>0.0019</v>
      </c>
      <c r="H1211" t="inlineStr">
        <is>
          <t>Low</t>
        </is>
      </c>
      <c r="I1211">
        <f>IF(G1211&gt;=Assumptions!$B$4,"Yes","No")</f>
        <v/>
      </c>
      <c r="J1211" s="8">
        <f>F1211*Assumptions!$B$6</f>
        <v/>
      </c>
      <c r="K1211" s="10">
        <f>G1211*J1211</f>
        <v/>
      </c>
      <c r="L1211" s="10">
        <f>IF(I1211="Yes",G1211*Assumptions!$B$5*J1211,0)</f>
        <v/>
      </c>
    </row>
    <row r="1212">
      <c r="A1212" t="n">
        <v>2022</v>
      </c>
      <c r="B1212" t="inlineStr">
        <is>
          <t>Research &amp; Development</t>
        </is>
      </c>
      <c r="C1212" t="inlineStr">
        <is>
          <t>Manager</t>
        </is>
      </c>
      <c r="D1212" t="inlineStr">
        <is>
          <t>No</t>
        </is>
      </c>
      <c r="E1212" s="8" t="n">
        <v>19431</v>
      </c>
      <c r="F1212" s="8">
        <f>E1212*Assumptions!$B$7</f>
        <v/>
      </c>
      <c r="G1212" s="9" t="n">
        <v>0.0018</v>
      </c>
      <c r="H1212" t="inlineStr">
        <is>
          <t>Low</t>
        </is>
      </c>
      <c r="I1212">
        <f>IF(G1212&gt;=Assumptions!$B$4,"Yes","No")</f>
        <v/>
      </c>
      <c r="J1212" s="8">
        <f>F1212*Assumptions!$B$6</f>
        <v/>
      </c>
      <c r="K1212" s="10">
        <f>G1212*J1212</f>
        <v/>
      </c>
      <c r="L1212" s="10">
        <f>IF(I1212="Yes",G1212*Assumptions!$B$5*J1212,0)</f>
        <v/>
      </c>
    </row>
    <row r="1213">
      <c r="A1213" t="n">
        <v>1755</v>
      </c>
      <c r="B1213" t="inlineStr">
        <is>
          <t>Research &amp; Development</t>
        </is>
      </c>
      <c r="C1213" t="inlineStr">
        <is>
          <t>Research Scientist</t>
        </is>
      </c>
      <c r="D1213" t="inlineStr">
        <is>
          <t>Yes</t>
        </is>
      </c>
      <c r="E1213" s="8" t="n">
        <v>2932</v>
      </c>
      <c r="F1213" s="8">
        <f>E1213*Assumptions!$B$7</f>
        <v/>
      </c>
      <c r="G1213" s="9" t="n">
        <v>0.0018</v>
      </c>
      <c r="H1213" t="inlineStr">
        <is>
          <t>Low</t>
        </is>
      </c>
      <c r="I1213">
        <f>IF(G1213&gt;=Assumptions!$B$4,"Yes","No")</f>
        <v/>
      </c>
      <c r="J1213" s="8">
        <f>F1213*Assumptions!$B$6</f>
        <v/>
      </c>
      <c r="K1213" s="10">
        <f>G1213*J1213</f>
        <v/>
      </c>
      <c r="L1213" s="10">
        <f>IF(I1213="Yes",G1213*Assumptions!$B$5*J1213,0)</f>
        <v/>
      </c>
    </row>
    <row r="1214">
      <c r="A1214" t="n">
        <v>1608</v>
      </c>
      <c r="B1214" t="inlineStr">
        <is>
          <t>Research &amp; Development</t>
        </is>
      </c>
      <c r="C1214" t="inlineStr">
        <is>
          <t>Research Director</t>
        </is>
      </c>
      <c r="D1214" t="inlineStr">
        <is>
          <t>Yes</t>
        </is>
      </c>
      <c r="E1214" s="8" t="n">
        <v>19049</v>
      </c>
      <c r="F1214" s="8">
        <f>E1214*Assumptions!$B$7</f>
        <v/>
      </c>
      <c r="G1214" s="9" t="n">
        <v>0.0017</v>
      </c>
      <c r="H1214" t="inlineStr">
        <is>
          <t>Low</t>
        </is>
      </c>
      <c r="I1214">
        <f>IF(G1214&gt;=Assumptions!$B$4,"Yes","No")</f>
        <v/>
      </c>
      <c r="J1214" s="8">
        <f>F1214*Assumptions!$B$6</f>
        <v/>
      </c>
      <c r="K1214" s="10">
        <f>G1214*J1214</f>
        <v/>
      </c>
      <c r="L1214" s="10">
        <f>IF(I1214="Yes",G1214*Assumptions!$B$5*J1214,0)</f>
        <v/>
      </c>
    </row>
    <row r="1215">
      <c r="A1215" t="n">
        <v>94</v>
      </c>
      <c r="B1215" t="inlineStr">
        <is>
          <t>Research &amp; Development</t>
        </is>
      </c>
      <c r="C1215" t="inlineStr">
        <is>
          <t>Research Scientist</t>
        </is>
      </c>
      <c r="D1215" t="inlineStr">
        <is>
          <t>No</t>
        </is>
      </c>
      <c r="E1215" s="8" t="n">
        <v>2703</v>
      </c>
      <c r="F1215" s="8">
        <f>E1215*Assumptions!$B$7</f>
        <v/>
      </c>
      <c r="G1215" s="9" t="n">
        <v>0.0017</v>
      </c>
      <c r="H1215" t="inlineStr">
        <is>
          <t>Low</t>
        </is>
      </c>
      <c r="I1215">
        <f>IF(G1215&gt;=Assumptions!$B$4,"Yes","No")</f>
        <v/>
      </c>
      <c r="J1215" s="8">
        <f>F1215*Assumptions!$B$6</f>
        <v/>
      </c>
      <c r="K1215" s="10">
        <f>G1215*J1215</f>
        <v/>
      </c>
      <c r="L1215" s="10">
        <f>IF(I1215="Yes",G1215*Assumptions!$B$5*J1215,0)</f>
        <v/>
      </c>
    </row>
    <row r="1216">
      <c r="A1216" t="n">
        <v>1040</v>
      </c>
      <c r="B1216" t="inlineStr">
        <is>
          <t>Sales</t>
        </is>
      </c>
      <c r="C1216" t="inlineStr">
        <is>
          <t>Sales Executive</t>
        </is>
      </c>
      <c r="D1216" t="inlineStr">
        <is>
          <t>No</t>
        </is>
      </c>
      <c r="E1216" s="8" t="n">
        <v>6347</v>
      </c>
      <c r="F1216" s="8">
        <f>E1216*Assumptions!$B$7</f>
        <v/>
      </c>
      <c r="G1216" s="9" t="n">
        <v>0.0016</v>
      </c>
      <c r="H1216" t="inlineStr">
        <is>
          <t>Low</t>
        </is>
      </c>
      <c r="I1216">
        <f>IF(G1216&gt;=Assumptions!$B$4,"Yes","No")</f>
        <v/>
      </c>
      <c r="J1216" s="8">
        <f>F1216*Assumptions!$B$6</f>
        <v/>
      </c>
      <c r="K1216" s="10">
        <f>G1216*J1216</f>
        <v/>
      </c>
      <c r="L1216" s="10">
        <f>IF(I1216="Yes",G1216*Assumptions!$B$5*J1216,0)</f>
        <v/>
      </c>
    </row>
    <row r="1217">
      <c r="A1217" t="n">
        <v>950</v>
      </c>
      <c r="B1217" t="inlineStr">
        <is>
          <t>Research &amp; Development</t>
        </is>
      </c>
      <c r="C1217" t="inlineStr">
        <is>
          <t>Research Director</t>
        </is>
      </c>
      <c r="D1217" t="inlineStr">
        <is>
          <t>No</t>
        </is>
      </c>
      <c r="E1217" s="8" t="n">
        <v>13582</v>
      </c>
      <c r="F1217" s="8">
        <f>E1217*Assumptions!$B$7</f>
        <v/>
      </c>
      <c r="G1217" s="9" t="n">
        <v>0.0015</v>
      </c>
      <c r="H1217" t="inlineStr">
        <is>
          <t>Low</t>
        </is>
      </c>
      <c r="I1217">
        <f>IF(G1217&gt;=Assumptions!$B$4,"Yes","No")</f>
        <v/>
      </c>
      <c r="J1217" s="8">
        <f>F1217*Assumptions!$B$6</f>
        <v/>
      </c>
      <c r="K1217" s="10">
        <f>G1217*J1217</f>
        <v/>
      </c>
      <c r="L1217" s="10">
        <f>IF(I1217="Yes",G1217*Assumptions!$B$5*J1217,0)</f>
        <v/>
      </c>
    </row>
    <row r="1218">
      <c r="A1218" t="n">
        <v>1804</v>
      </c>
      <c r="B1218" t="inlineStr">
        <is>
          <t>Research &amp; Development</t>
        </is>
      </c>
      <c r="C1218" t="inlineStr">
        <is>
          <t>Manufacturing Director</t>
        </is>
      </c>
      <c r="D1218" t="inlineStr">
        <is>
          <t>No</t>
        </is>
      </c>
      <c r="E1218" s="8" t="n">
        <v>5762</v>
      </c>
      <c r="F1218" s="8">
        <f>E1218*Assumptions!$B$7</f>
        <v/>
      </c>
      <c r="G1218" s="9" t="n">
        <v>0.0014</v>
      </c>
      <c r="H1218" t="inlineStr">
        <is>
          <t>Low</t>
        </is>
      </c>
      <c r="I1218">
        <f>IF(G1218&gt;=Assumptions!$B$4,"Yes","No")</f>
        <v/>
      </c>
      <c r="J1218" s="8">
        <f>F1218*Assumptions!$B$6</f>
        <v/>
      </c>
      <c r="K1218" s="10">
        <f>G1218*J1218</f>
        <v/>
      </c>
      <c r="L1218" s="10">
        <f>IF(I1218="Yes",G1218*Assumptions!$B$5*J1218,0)</f>
        <v/>
      </c>
    </row>
    <row r="1219">
      <c r="A1219" t="n">
        <v>683</v>
      </c>
      <c r="B1219" t="inlineStr">
        <is>
          <t>Research &amp; Development</t>
        </is>
      </c>
      <c r="C1219" t="inlineStr">
        <is>
          <t>Research Scientist</t>
        </is>
      </c>
      <c r="D1219" t="inlineStr">
        <is>
          <t>No</t>
        </is>
      </c>
      <c r="E1219" s="8" t="n">
        <v>2691</v>
      </c>
      <c r="F1219" s="8">
        <f>E1219*Assumptions!$B$7</f>
        <v/>
      </c>
      <c r="G1219" s="9" t="n">
        <v>0.0014</v>
      </c>
      <c r="H1219" t="inlineStr">
        <is>
          <t>Low</t>
        </is>
      </c>
      <c r="I1219">
        <f>IF(G1219&gt;=Assumptions!$B$4,"Yes","No")</f>
        <v/>
      </c>
      <c r="J1219" s="8">
        <f>F1219*Assumptions!$B$6</f>
        <v/>
      </c>
      <c r="K1219" s="10">
        <f>G1219*J1219</f>
        <v/>
      </c>
      <c r="L1219" s="10">
        <f>IF(I1219="Yes",G1219*Assumptions!$B$5*J1219,0)</f>
        <v/>
      </c>
    </row>
    <row r="1220">
      <c r="A1220" t="n">
        <v>2015</v>
      </c>
      <c r="B1220" t="inlineStr">
        <is>
          <t>Research &amp; Development</t>
        </is>
      </c>
      <c r="C1220" t="inlineStr">
        <is>
          <t>Research Director</t>
        </is>
      </c>
      <c r="D1220" t="inlineStr">
        <is>
          <t>No</t>
        </is>
      </c>
      <c r="E1220" s="8" t="n">
        <v>13206</v>
      </c>
      <c r="F1220" s="8">
        <f>E1220*Assumptions!$B$7</f>
        <v/>
      </c>
      <c r="G1220" s="9" t="n">
        <v>0.0014</v>
      </c>
      <c r="H1220" t="inlineStr">
        <is>
          <t>Low</t>
        </is>
      </c>
      <c r="I1220">
        <f>IF(G1220&gt;=Assumptions!$B$4,"Yes","No")</f>
        <v/>
      </c>
      <c r="J1220" s="8">
        <f>F1220*Assumptions!$B$6</f>
        <v/>
      </c>
      <c r="K1220" s="10">
        <f>G1220*J1220</f>
        <v/>
      </c>
      <c r="L1220" s="10">
        <f>IF(I1220="Yes",G1220*Assumptions!$B$5*J1220,0)</f>
        <v/>
      </c>
    </row>
    <row r="1221">
      <c r="A1221" t="n">
        <v>1822</v>
      </c>
      <c r="B1221" t="inlineStr">
        <is>
          <t>Research &amp; Development</t>
        </is>
      </c>
      <c r="C1221" t="inlineStr">
        <is>
          <t>Healthcare Representative</t>
        </is>
      </c>
      <c r="D1221" t="inlineStr">
        <is>
          <t>No</t>
        </is>
      </c>
      <c r="E1221" s="8" t="n">
        <v>6513</v>
      </c>
      <c r="F1221" s="8">
        <f>E1221*Assumptions!$B$7</f>
        <v/>
      </c>
      <c r="G1221" s="9" t="n">
        <v>0.0013</v>
      </c>
      <c r="H1221" t="inlineStr">
        <is>
          <t>Low</t>
        </is>
      </c>
      <c r="I1221">
        <f>IF(G1221&gt;=Assumptions!$B$4,"Yes","No")</f>
        <v/>
      </c>
      <c r="J1221" s="8">
        <f>F1221*Assumptions!$B$6</f>
        <v/>
      </c>
      <c r="K1221" s="10">
        <f>G1221*J1221</f>
        <v/>
      </c>
      <c r="L1221" s="10">
        <f>IF(I1221="Yes",G1221*Assumptions!$B$5*J1221,0)</f>
        <v/>
      </c>
    </row>
    <row r="1222">
      <c r="A1222" t="n">
        <v>797</v>
      </c>
      <c r="B1222" t="inlineStr">
        <is>
          <t>Research &amp; Development</t>
        </is>
      </c>
      <c r="C1222" t="inlineStr">
        <is>
          <t>Research Scientist</t>
        </is>
      </c>
      <c r="D1222" t="inlineStr">
        <is>
          <t>No</t>
        </is>
      </c>
      <c r="E1222" s="8" t="n">
        <v>3280</v>
      </c>
      <c r="F1222" s="8">
        <f>E1222*Assumptions!$B$7</f>
        <v/>
      </c>
      <c r="G1222" s="9" t="n">
        <v>0.0013</v>
      </c>
      <c r="H1222" t="inlineStr">
        <is>
          <t>Low</t>
        </is>
      </c>
      <c r="I1222">
        <f>IF(G1222&gt;=Assumptions!$B$4,"Yes","No")</f>
        <v/>
      </c>
      <c r="J1222" s="8">
        <f>F1222*Assumptions!$B$6</f>
        <v/>
      </c>
      <c r="K1222" s="10">
        <f>G1222*J1222</f>
        <v/>
      </c>
      <c r="L1222" s="10">
        <f>IF(I1222="Yes",G1222*Assumptions!$B$5*J1222,0)</f>
        <v/>
      </c>
    </row>
    <row r="1223">
      <c r="A1223" t="n">
        <v>1288</v>
      </c>
      <c r="B1223" t="inlineStr">
        <is>
          <t>Research &amp; Development</t>
        </is>
      </c>
      <c r="C1223" t="inlineStr">
        <is>
          <t>Manager</t>
        </is>
      </c>
      <c r="D1223" t="inlineStr">
        <is>
          <t>No</t>
        </is>
      </c>
      <c r="E1223" s="8" t="n">
        <v>19190</v>
      </c>
      <c r="F1223" s="8">
        <f>E1223*Assumptions!$B$7</f>
        <v/>
      </c>
      <c r="G1223" s="9" t="n">
        <v>0.0012</v>
      </c>
      <c r="H1223" t="inlineStr">
        <is>
          <t>Low</t>
        </is>
      </c>
      <c r="I1223">
        <f>IF(G1223&gt;=Assumptions!$B$4,"Yes","No")</f>
        <v/>
      </c>
      <c r="J1223" s="8">
        <f>F1223*Assumptions!$B$6</f>
        <v/>
      </c>
      <c r="K1223" s="10">
        <f>G1223*J1223</f>
        <v/>
      </c>
      <c r="L1223" s="10">
        <f>IF(I1223="Yes",G1223*Assumptions!$B$5*J1223,0)</f>
        <v/>
      </c>
    </row>
    <row r="1224">
      <c r="A1224" t="n">
        <v>724</v>
      </c>
      <c r="B1224" t="inlineStr">
        <is>
          <t>Research &amp; Development</t>
        </is>
      </c>
      <c r="C1224" t="inlineStr">
        <is>
          <t>Healthcare Representative</t>
        </is>
      </c>
      <c r="D1224" t="inlineStr">
        <is>
          <t>No</t>
        </is>
      </c>
      <c r="E1224" s="8" t="n">
        <v>7625</v>
      </c>
      <c r="F1224" s="8">
        <f>E1224*Assumptions!$B$7</f>
        <v/>
      </c>
      <c r="G1224" s="9" t="n">
        <v>0.0012</v>
      </c>
      <c r="H1224" t="inlineStr">
        <is>
          <t>Low</t>
        </is>
      </c>
      <c r="I1224">
        <f>IF(G1224&gt;=Assumptions!$B$4,"Yes","No")</f>
        <v/>
      </c>
      <c r="J1224" s="8">
        <f>F1224*Assumptions!$B$6</f>
        <v/>
      </c>
      <c r="K1224" s="10">
        <f>G1224*J1224</f>
        <v/>
      </c>
      <c r="L1224" s="10">
        <f>IF(I1224="Yes",G1224*Assumptions!$B$5*J1224,0)</f>
        <v/>
      </c>
    </row>
    <row r="1225">
      <c r="A1225" t="n">
        <v>352</v>
      </c>
      <c r="B1225" t="inlineStr">
        <is>
          <t>Research &amp; Development</t>
        </is>
      </c>
      <c r="C1225" t="inlineStr">
        <is>
          <t>Research Director</t>
        </is>
      </c>
      <c r="D1225" t="inlineStr">
        <is>
          <t>No</t>
        </is>
      </c>
      <c r="E1225" s="8" t="n">
        <v>19436</v>
      </c>
      <c r="F1225" s="8">
        <f>E1225*Assumptions!$B$7</f>
        <v/>
      </c>
      <c r="G1225" s="9" t="n">
        <v>0.0012</v>
      </c>
      <c r="H1225" t="inlineStr">
        <is>
          <t>Low</t>
        </is>
      </c>
      <c r="I1225">
        <f>IF(G1225&gt;=Assumptions!$B$4,"Yes","No")</f>
        <v/>
      </c>
      <c r="J1225" s="8">
        <f>F1225*Assumptions!$B$6</f>
        <v/>
      </c>
      <c r="K1225" s="10">
        <f>G1225*J1225</f>
        <v/>
      </c>
      <c r="L1225" s="10">
        <f>IF(I1225="Yes",G1225*Assumptions!$B$5*J1225,0)</f>
        <v/>
      </c>
    </row>
    <row r="1226">
      <c r="A1226" t="n">
        <v>46</v>
      </c>
      <c r="B1226" t="inlineStr">
        <is>
          <t>Research &amp; Development</t>
        </is>
      </c>
      <c r="C1226" t="inlineStr">
        <is>
          <t>Research Scientist</t>
        </is>
      </c>
      <c r="D1226" t="inlineStr">
        <is>
          <t>No</t>
        </is>
      </c>
      <c r="E1226" s="8" t="n">
        <v>2645</v>
      </c>
      <c r="F1226" s="8">
        <f>E1226*Assumptions!$B$7</f>
        <v/>
      </c>
      <c r="G1226" s="9" t="n">
        <v>0.0012</v>
      </c>
      <c r="H1226" t="inlineStr">
        <is>
          <t>Low</t>
        </is>
      </c>
      <c r="I1226">
        <f>IF(G1226&gt;=Assumptions!$B$4,"Yes","No")</f>
        <v/>
      </c>
      <c r="J1226" s="8">
        <f>F1226*Assumptions!$B$6</f>
        <v/>
      </c>
      <c r="K1226" s="10">
        <f>G1226*J1226</f>
        <v/>
      </c>
      <c r="L1226" s="10">
        <f>IF(I1226="Yes",G1226*Assumptions!$B$5*J1226,0)</f>
        <v/>
      </c>
    </row>
    <row r="1227">
      <c r="A1227" t="n">
        <v>336</v>
      </c>
      <c r="B1227" t="inlineStr">
        <is>
          <t>Research &amp; Development</t>
        </is>
      </c>
      <c r="C1227" t="inlineStr">
        <is>
          <t>Manager</t>
        </is>
      </c>
      <c r="D1227" t="inlineStr">
        <is>
          <t>No</t>
        </is>
      </c>
      <c r="E1227" s="8" t="n">
        <v>19202</v>
      </c>
      <c r="F1227" s="8">
        <f>E1227*Assumptions!$B$7</f>
        <v/>
      </c>
      <c r="G1227" s="9" t="n">
        <v>0.0012</v>
      </c>
      <c r="H1227" t="inlineStr">
        <is>
          <t>Low</t>
        </is>
      </c>
      <c r="I1227">
        <f>IF(G1227&gt;=Assumptions!$B$4,"Yes","No")</f>
        <v/>
      </c>
      <c r="J1227" s="8">
        <f>F1227*Assumptions!$B$6</f>
        <v/>
      </c>
      <c r="K1227" s="10">
        <f>G1227*J1227</f>
        <v/>
      </c>
      <c r="L1227" s="10">
        <f>IF(I1227="Yes",G1227*Assumptions!$B$5*J1227,0)</f>
        <v/>
      </c>
    </row>
    <row r="1228">
      <c r="A1228" t="n">
        <v>1903</v>
      </c>
      <c r="B1228" t="inlineStr">
        <is>
          <t>Research &amp; Development</t>
        </is>
      </c>
      <c r="C1228" t="inlineStr">
        <is>
          <t>Healthcare Representative</t>
        </is>
      </c>
      <c r="D1228" t="inlineStr">
        <is>
          <t>No</t>
        </is>
      </c>
      <c r="E1228" s="8" t="n">
        <v>5033</v>
      </c>
      <c r="F1228" s="8">
        <f>E1228*Assumptions!$B$7</f>
        <v/>
      </c>
      <c r="G1228" s="9" t="n">
        <v>0.001</v>
      </c>
      <c r="H1228" t="inlineStr">
        <is>
          <t>Low</t>
        </is>
      </c>
      <c r="I1228">
        <f>IF(G1228&gt;=Assumptions!$B$4,"Yes","No")</f>
        <v/>
      </c>
      <c r="J1228" s="8">
        <f>F1228*Assumptions!$B$6</f>
        <v/>
      </c>
      <c r="K1228" s="10">
        <f>G1228*J1228</f>
        <v/>
      </c>
      <c r="L1228" s="10">
        <f>IF(I1228="Yes",G1228*Assumptions!$B$5*J1228,0)</f>
        <v/>
      </c>
    </row>
    <row r="1229">
      <c r="A1229" t="n">
        <v>1630</v>
      </c>
      <c r="B1229" t="inlineStr">
        <is>
          <t>Research &amp; Development</t>
        </is>
      </c>
      <c r="C1229" t="inlineStr">
        <is>
          <t>Healthcare Representative</t>
        </is>
      </c>
      <c r="D1229" t="inlineStr">
        <is>
          <t>No</t>
        </is>
      </c>
      <c r="E1229" s="8" t="n">
        <v>4148</v>
      </c>
      <c r="F1229" s="8">
        <f>E1229*Assumptions!$B$7</f>
        <v/>
      </c>
      <c r="G1229" s="9" t="n">
        <v>0.001</v>
      </c>
      <c r="H1229" t="inlineStr">
        <is>
          <t>Low</t>
        </is>
      </c>
      <c r="I1229">
        <f>IF(G1229&gt;=Assumptions!$B$4,"Yes","No")</f>
        <v/>
      </c>
      <c r="J1229" s="8">
        <f>F1229*Assumptions!$B$6</f>
        <v/>
      </c>
      <c r="K1229" s="10">
        <f>G1229*J1229</f>
        <v/>
      </c>
      <c r="L1229" s="10">
        <f>IF(I1229="Yes",G1229*Assumptions!$B$5*J1229,0)</f>
        <v/>
      </c>
    </row>
    <row r="1230">
      <c r="A1230" t="n">
        <v>558</v>
      </c>
      <c r="B1230" t="inlineStr">
        <is>
          <t>Sales</t>
        </is>
      </c>
      <c r="C1230" t="inlineStr">
        <is>
          <t>Manager</t>
        </is>
      </c>
      <c r="D1230" t="inlineStr">
        <is>
          <t>No</t>
        </is>
      </c>
      <c r="E1230" s="8" t="n">
        <v>18041</v>
      </c>
      <c r="F1230" s="8">
        <f>E1230*Assumptions!$B$7</f>
        <v/>
      </c>
      <c r="G1230" s="9" t="n">
        <v>0.0009</v>
      </c>
      <c r="H1230" t="inlineStr">
        <is>
          <t>Low</t>
        </is>
      </c>
      <c r="I1230">
        <f>IF(G1230&gt;=Assumptions!$B$4,"Yes","No")</f>
        <v/>
      </c>
      <c r="J1230" s="8">
        <f>F1230*Assumptions!$B$6</f>
        <v/>
      </c>
      <c r="K1230" s="10">
        <f>G1230*J1230</f>
        <v/>
      </c>
      <c r="L1230" s="10">
        <f>IF(I1230="Yes",G1230*Assumptions!$B$5*J1230,0)</f>
        <v/>
      </c>
    </row>
    <row r="1231">
      <c r="A1231" t="n">
        <v>1712</v>
      </c>
      <c r="B1231" t="inlineStr">
        <is>
          <t>Research &amp; Development</t>
        </is>
      </c>
      <c r="C1231" t="inlineStr">
        <is>
          <t>Healthcare Representative</t>
        </is>
      </c>
      <c r="D1231" t="inlineStr">
        <is>
          <t>No</t>
        </is>
      </c>
      <c r="E1231" s="8" t="n">
        <v>10748</v>
      </c>
      <c r="F1231" s="8">
        <f>E1231*Assumptions!$B$7</f>
        <v/>
      </c>
      <c r="G1231" s="9" t="n">
        <v>0.0007</v>
      </c>
      <c r="H1231" t="inlineStr">
        <is>
          <t>Low</t>
        </is>
      </c>
      <c r="I1231">
        <f>IF(G1231&gt;=Assumptions!$B$4,"Yes","No")</f>
        <v/>
      </c>
      <c r="J1231" s="8">
        <f>F1231*Assumptions!$B$6</f>
        <v/>
      </c>
      <c r="K1231" s="10">
        <f>G1231*J1231</f>
        <v/>
      </c>
      <c r="L1231" s="10">
        <f>IF(I1231="Yes",G1231*Assumptions!$B$5*J1231,0)</f>
        <v/>
      </c>
    </row>
    <row r="1232">
      <c r="A1232" t="n">
        <v>1264</v>
      </c>
      <c r="B1232" t="inlineStr">
        <is>
          <t>Research &amp; Development</t>
        </is>
      </c>
      <c r="C1232" t="inlineStr">
        <is>
          <t>Research Director</t>
        </is>
      </c>
      <c r="D1232" t="inlineStr">
        <is>
          <t>No</t>
        </is>
      </c>
      <c r="E1232" s="8" t="n">
        <v>16124</v>
      </c>
      <c r="F1232" s="8">
        <f>E1232*Assumptions!$B$7</f>
        <v/>
      </c>
      <c r="G1232" s="9" t="n">
        <v>0.0007</v>
      </c>
      <c r="H1232" t="inlineStr">
        <is>
          <t>Low</t>
        </is>
      </c>
      <c r="I1232">
        <f>IF(G1232&gt;=Assumptions!$B$4,"Yes","No")</f>
        <v/>
      </c>
      <c r="J1232" s="8">
        <f>F1232*Assumptions!$B$6</f>
        <v/>
      </c>
      <c r="K1232" s="10">
        <f>G1232*J1232</f>
        <v/>
      </c>
      <c r="L1232" s="10">
        <f>IF(I1232="Yes",G1232*Assumptions!$B$5*J1232,0)</f>
        <v/>
      </c>
    </row>
    <row r="1233">
      <c r="A1233" t="n">
        <v>1424</v>
      </c>
      <c r="B1233" t="inlineStr">
        <is>
          <t>Research &amp; Development</t>
        </is>
      </c>
      <c r="C1233" t="inlineStr">
        <is>
          <t>Research Director</t>
        </is>
      </c>
      <c r="D1233" t="inlineStr">
        <is>
          <t>No</t>
        </is>
      </c>
      <c r="E1233" s="8" t="n">
        <v>14732</v>
      </c>
      <c r="F1233" s="8">
        <f>E1233*Assumptions!$B$7</f>
        <v/>
      </c>
      <c r="G1233" s="9" t="n">
        <v>0.0005999999999999999</v>
      </c>
      <c r="H1233" t="inlineStr">
        <is>
          <t>Low</t>
        </is>
      </c>
      <c r="I1233">
        <f>IF(G1233&gt;=Assumptions!$B$4,"Yes","No")</f>
        <v/>
      </c>
      <c r="J1233" s="8">
        <f>F1233*Assumptions!$B$6</f>
        <v/>
      </c>
      <c r="K1233" s="10">
        <f>G1233*J1233</f>
        <v/>
      </c>
      <c r="L1233" s="10">
        <f>IF(I1233="Yes",G1233*Assumptions!$B$5*J1233,0)</f>
        <v/>
      </c>
    </row>
    <row r="1234">
      <c r="A1234" t="n">
        <v>997</v>
      </c>
      <c r="B1234" t="inlineStr">
        <is>
          <t>Research &amp; Development</t>
        </is>
      </c>
      <c r="C1234" t="inlineStr">
        <is>
          <t>Research Director</t>
        </is>
      </c>
      <c r="D1234" t="inlineStr">
        <is>
          <t>No</t>
        </is>
      </c>
      <c r="E1234" s="8" t="n">
        <v>17399</v>
      </c>
      <c r="F1234" s="8">
        <f>E1234*Assumptions!$B$7</f>
        <v/>
      </c>
      <c r="G1234" s="9" t="n">
        <v>0.0005</v>
      </c>
      <c r="H1234" t="inlineStr">
        <is>
          <t>Low</t>
        </is>
      </c>
      <c r="I1234">
        <f>IF(G1234&gt;=Assumptions!$B$4,"Yes","No")</f>
        <v/>
      </c>
      <c r="J1234" s="8">
        <f>F1234*Assumptions!$B$6</f>
        <v/>
      </c>
      <c r="K1234" s="10">
        <f>G1234*J1234</f>
        <v/>
      </c>
      <c r="L1234" s="10">
        <f>IF(I1234="Yes",G1234*Assumptions!$B$5*J1234,0)</f>
        <v/>
      </c>
    </row>
  </sheetData>
  <autoFilter ref="A1:L1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58" customWidth="1" min="3" max="3"/>
  </cols>
  <sheetData>
    <row r="1">
      <c r="A1" s="1" t="inlineStr">
        <is>
          <t>Cost-of-Turnover Dashboard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2" t="inlineStr">
        <is>
          <t>Formula / definition</t>
        </is>
      </c>
    </row>
    <row r="4">
      <c r="A4" t="inlineStr">
        <is>
          <t>Current employees (Attrition=No)</t>
        </is>
      </c>
      <c r="B4" s="11">
        <f>COUNTA('At-Risk'!A2:A1234)</f>
        <v/>
      </c>
      <c r="C4" t="inlineStr">
        <is>
          <t>All current employees scored by the model</t>
        </is>
      </c>
    </row>
    <row r="5">
      <c r="A5" t="inlineStr">
        <is>
          <t>Flagged at-risk employees</t>
        </is>
      </c>
      <c r="B5" s="11">
        <f>COUNTIF('At-Risk'!I2:I1234,"Yes")</f>
        <v/>
      </c>
      <c r="C5" t="inlineStr">
        <is>
          <t>Count where AttritionProbability ≥ HighRiskThreshold</t>
        </is>
      </c>
    </row>
    <row r="6">
      <c r="A6" t="inlineStr">
        <is>
          <t>Expected leavers without intervention</t>
        </is>
      </c>
      <c r="B6" s="12">
        <f>SUMIF('At-Risk'!I2:I1234,"Yes",'At-Risk'!G2:G1234)</f>
        <v/>
      </c>
      <c r="C6" t="inlineStr">
        <is>
          <t>Sum of attrition probabilities among flagged employees</t>
        </is>
      </c>
    </row>
    <row r="7">
      <c r="A7" t="inlineStr">
        <is>
          <t>Prevented leavers (with program)</t>
        </is>
      </c>
      <c r="B7" s="12">
        <f>B6*Assumptions!B5</f>
        <v/>
      </c>
      <c r="C7" t="inlineStr">
        <is>
          <t>Expected leavers × RetentionEffectiveness</t>
        </is>
      </c>
    </row>
    <row r="8">
      <c r="A8" t="inlineStr">
        <is>
          <t>Avg annual salary (flagged)</t>
        </is>
      </c>
      <c r="B8" s="13">
        <f>AVERAGEIF('At-Risk'!I2:I1234,"Yes",'At-Risk'!F2:F1234)</f>
        <v/>
      </c>
      <c r="C8" t="inlineStr">
        <is>
          <t>Average AnnualSalary among flagged rows</t>
        </is>
      </c>
    </row>
    <row r="9">
      <c r="A9" t="inlineStr">
        <is>
          <t>Avg replacement cost per leaver</t>
        </is>
      </c>
      <c r="B9" s="13">
        <f>B8*Assumptions!B6</f>
        <v/>
      </c>
      <c r="C9" t="inlineStr">
        <is>
          <t>Avg annual salary × ReplacementCostPct</t>
        </is>
      </c>
    </row>
    <row r="10">
      <c r="A10" t="inlineStr">
        <is>
          <t>Expected turnover cost (no intervention)</t>
        </is>
      </c>
      <c r="B10" s="13">
        <f>SUMIF('At-Risk'!I2:I1234,"Yes",'At-Risk'!K2:K1234)</f>
        <v/>
      </c>
      <c r="C10" t="inlineStr">
        <is>
          <t>Sum of P(attrition) × replacement cost for flagged employees</t>
        </is>
      </c>
    </row>
    <row r="11">
      <c r="A11" t="inlineStr">
        <is>
          <t>Projected savings (retention program)</t>
        </is>
      </c>
      <c r="B11" s="14">
        <f>SUMIF('At-Risk'!I2:I1234,"Yes",'At-Risk'!L2:L1234)</f>
        <v/>
      </c>
      <c r="C11" t="inlineStr">
        <is>
          <t>Sum of P × effectiveness × replacement cost for flagged employees</t>
        </is>
      </c>
    </row>
    <row r="12"/>
    <row r="13">
      <c r="A13" s="5" t="inlineStr">
        <is>
          <t>Assumption cross-check (linked)</t>
        </is>
      </c>
    </row>
    <row r="14">
      <c r="A14" t="inlineStr">
        <is>
          <t>HighRiskThreshold</t>
        </is>
      </c>
      <c r="B14" s="15">
        <f>Assumptions!B4</f>
        <v/>
      </c>
    </row>
    <row r="15">
      <c r="A15" t="inlineStr">
        <is>
          <t>RetentionEffectiveness</t>
        </is>
      </c>
      <c r="B15" s="15">
        <f>Assumptions!B5</f>
        <v/>
      </c>
    </row>
    <row r="16">
      <c r="A16" t="inlineStr">
        <is>
          <t>ReplacementCostPct</t>
        </is>
      </c>
      <c r="B16" s="15">
        <f>Assumptions!B6</f>
        <v/>
      </c>
    </row>
    <row r="17"/>
    <row r="18">
      <c r="A18" s="5" t="inlineStr">
        <is>
          <t>Interpretation</t>
        </is>
      </c>
    </row>
    <row r="19">
      <c r="A19" s="6" t="inlineStr">
        <is>
          <t>Among current employees flagged as high attrition risk, the model expects B6 departures in the absence of intervention. A targeted retention program assumed to retain B15 of those expected exits avoids B7 departures, each costing about B9 to replace, for projected savings of B11.</t>
        </is>
      </c>
    </row>
    <row r="20"/>
    <row r="21"/>
  </sheetData>
  <mergeCells count="2">
    <mergeCell ref="A1:C1"/>
    <mergeCell ref="A19:C2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2026-09-04T16:51:46Z</dcterms:created>
  <dcterms:modified xsi:type="dcterms:W3CDTF">2026-09-04T16:51:46Z</dcterms:modified>
</cp:coreProperties>
</file>